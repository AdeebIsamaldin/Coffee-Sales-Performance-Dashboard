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D:\ADEEB\DATA NERD\My PROJECTS\"/>
    </mc:Choice>
  </mc:AlternateContent>
  <xr:revisionPtr revIDLastSave="0" documentId="13_ncr:1_{316E8968-A49F-48F9-8CFD-B9B5B13A1DB1}" xr6:coauthVersionLast="47" xr6:coauthVersionMax="47" xr10:uidLastSave="{00000000-0000-0000-0000-000000000000}"/>
  <bookViews>
    <workbookView xWindow="-108" yWindow="-108" windowWidth="23256" windowHeight="12456" xr2:uid="{00000000-000D-0000-FFFF-FFFF00000000}"/>
  </bookViews>
  <sheets>
    <sheet name="Dashboard" sheetId="22" r:id="rId1"/>
    <sheet name="EDA" sheetId="23" r:id="rId2"/>
    <sheet name="Totalsales" sheetId="18" r:id="rId3"/>
    <sheet name="Country_BarChart" sheetId="19" r:id="rId4"/>
    <sheet name="Top5Customers" sheetId="21" r:id="rId5"/>
    <sheet name="orders" sheetId="17" r:id="rId6"/>
    <sheet name="products" sheetId="2" state="hidden" r:id="rId7"/>
    <sheet name="customers" sheetId="13" state="hidden" r:id="rId8"/>
  </sheets>
  <definedNames>
    <definedName name="_xlnm._FilterDatabase" localSheetId="5" hidden="1">orders!$A$1:$M$1001</definedName>
    <definedName name="_xlnm._FilterDatabase" localSheetId="6"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M5" i="17"/>
  <c r="M168" i="17"/>
  <c r="M255" i="17"/>
  <c r="M319" i="17"/>
  <c r="M383" i="17"/>
  <c r="M447" i="17"/>
  <c r="M511" i="17"/>
  <c r="M567" i="17"/>
  <c r="M599" i="17"/>
  <c r="M623" i="17"/>
  <c r="M644" i="17"/>
  <c r="M667" i="17"/>
  <c r="M687" i="17"/>
  <c r="M708" i="17"/>
  <c r="M731" i="17"/>
  <c r="M751" i="17"/>
  <c r="M772" i="17"/>
  <c r="M795" i="17"/>
  <c r="M815" i="17"/>
  <c r="M836" i="17"/>
  <c r="M859" i="17"/>
  <c r="M879" i="17"/>
  <c r="M900" i="17"/>
  <c r="M923" i="17"/>
  <c r="M943" i="17"/>
  <c r="M964" i="17"/>
  <c r="M987"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<sst xmlns="http://schemas.openxmlformats.org/spreadsheetml/2006/main" count="11152" uniqueCount="6239">
  <si>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</si>
  <si>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</si>
  <si>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</si>
  <si>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</si>
  <si>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</si>
  <si>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</si>
  <si>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</si>
  <si>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</si>
  <si>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</si>
  <si>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</si>
  <si>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</si>
  <si>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</si>
  <si>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</si>
  <si>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</si>
  <si>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</si>
  <si>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</si>
  <si>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</si>
  <si>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</si>
  <si>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</si>
  <si>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</si>
  <si>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</si>
  <si>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</si>
  <si>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</si>
  <si>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</si>
  <si>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</si>
  <si>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</si>
  <si>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</si>
  <si>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</si>
  <si>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</si>
  <si>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</si>
  <si>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</si>
  <si>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</si>
  <si>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</si>
  <si>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</si>
  <si>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</si>
  <si>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</si>
  <si>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</si>
  <si>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</si>
  <si>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</si>
  <si>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</si>
  <si>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</si>
  <si>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</si>
  <si>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</si>
  <si>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</si>
  <si>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</si>
  <si>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</si>
  <si>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</si>
  <si>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</si>
  <si>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</si>
  <si>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</si>
  <si>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</si>
  <si>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</si>
  <si>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</si>
  <si>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</si>
  <si>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</si>
  <si>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</si>
  <si>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</si>
  <si>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</si>
  <si>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</si>
  <si>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</si>
  <si>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</si>
  <si>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</si>
  <si>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</si>
  <si>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</si>
  <si>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</si>
  <si>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</si>
  <si>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</si>
  <si>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</si>
  <si>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</si>
  <si>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</si>
  <si>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</si>
  <si>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</si>
  <si>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</si>
  <si>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</si>
  <si>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</si>
  <si>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</si>
  <si>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</si>
  <si>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</si>
  <si>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</si>
  <si>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</si>
  <si>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</si>
  <si>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</si>
  <si>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</si>
  <si>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</si>
  <si>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</si>
  <si>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</si>
  <si>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</si>
  <si>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</si>
  <si>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</si>
  <si>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</si>
  <si>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</si>
  <si>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</si>
  <si>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</si>
  <si>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</si>
  <si>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</si>
  <si>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</si>
  <si>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</si>
  <si>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</si>
  <si>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</si>
  <si>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</si>
  <si>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</si>
  <si>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</si>
  <si>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</si>
  <si>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</si>
  <si>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</si>
  <si>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</si>
  <si>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</si>
  <si>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</si>
  <si>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</si>
  <si>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</si>
  <si>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</si>
  <si>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</si>
  <si>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</si>
  <si>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</si>
  <si>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</si>
  <si>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</si>
  <si>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</si>
  <si>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</si>
  <si>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</si>
  <si>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</si>
  <si>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</si>
  <si>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</si>
  <si>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</si>
  <si>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</si>
  <si>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</si>
  <si>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</si>
  <si>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</si>
  <si>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</si>
  <si>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</si>
  <si>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</si>
  <si>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</si>
  <si>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</si>
  <si>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</si>
  <si>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</si>
  <si>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</si>
  <si>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</si>
  <si>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</si>
  <si>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</si>
  <si>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</si>
  <si>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</si>
  <si>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</si>
  <si>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</si>
  <si>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</si>
  <si>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</si>
  <si>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</si>
  <si>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</si>
  <si>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</si>
  <si>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</si>
  <si>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</si>
  <si>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</si>
  <si>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</si>
  <si>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</si>
  <si>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</si>
  <si>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</si>
  <si>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</si>
  <si>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</si>
  <si>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</si>
  <si>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</si>
  <si>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</si>
  <si>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</si>
  <si>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</si>
  <si>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</si>
  <si>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</si>
  <si>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</si>
  <si>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</si>
  <si>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</si>
  <si>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</si>
  <si>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</si>
  <si>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</si>
  <si>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</si>
  <si>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</si>
  <si>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</si>
  <si>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</si>
  <si>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</si>
  <si>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</si>
  <si>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</si>
  <si>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</si>
  <si>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</si>
  <si>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</si>
  <si>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</si>
  <si>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</si>
  <si>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</si>
  <si>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</si>
  <si>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</si>
  <si>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</si>
  <si>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</si>
  <si>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</si>
  <si>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</si>
  <si>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</si>
  <si>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</si>
  <si>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</si>
  <si>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</si>
  <si>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</si>
  <si>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</si>
  <si>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</si>
  <si>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</si>
  <si>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</si>
  <si>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</si>
  <si>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</si>
  <si>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</si>
  <si>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</si>
  <si>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</si>
  <si>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</si>
  <si>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</si>
  <si>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</si>
  <si>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</si>
  <si>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</si>
  <si>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</si>
  <si>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</si>
  <si>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</si>
  <si>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</si>
  <si>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</si>
  <si>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</si>
  <si>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</si>
  <si>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</si>
  <si>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</si>
  <si>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</si>
  <si>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</si>
  <si>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</si>
  <si>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</si>
  <si>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</si>
  <si>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</si>
  <si>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</si>
  <si>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</si>
  <si>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</si>
  <si>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</si>
  <si>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</si>
  <si>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</si>
  <si>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</si>
  <si>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</si>
  <si>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</si>
  <si>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</si>
  <si>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</si>
  <si>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</si>
  <si>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</si>
  <si>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</si>
  <si>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</si>
  <si>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</si>
  <si>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</si>
  <si>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</si>
  <si>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</si>
  <si>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</si>
  <si>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</si>
  <si>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</si>
  <si>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</si>
  <si>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</si>
  <si>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</si>
  <si>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</si>
  <si>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</si>
  <si>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</si>
  <si>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</si>
  <si>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</si>
  <si>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</si>
  <si>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</si>
  <si>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</si>
  <si>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</si>
  <si>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</si>
  <si>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</si>
  <si>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</si>
  <si>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</si>
  <si>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</si>
  <si>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</si>
  <si>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</si>
  <si>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</si>
  <si>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</si>
  <si>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</si>
  <si>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</si>
  <si>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</si>
  <si>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</si>
  <si>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</si>
  <si>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</si>
  <si>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</si>
  <si>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</si>
  <si>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</si>
  <si>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</si>
  <si>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</si>
  <si>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</si>
  <si>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</si>
  <si>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</si>
  <si>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</si>
  <si>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</si>
  <si>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</si>
  <si>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</si>
  <si>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</si>
  <si>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</si>
  <si>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</si>
  <si>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</si>
  <si>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</si>
  <si>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</si>
  <si>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</si>
  <si>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</si>
  <si>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</si>
  <si>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</si>
  <si>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</si>
  <si>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</si>
  <si>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</si>
  <si>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</si>
  <si>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</si>
  <si>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</si>
  <si>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</si>
  <si>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</si>
  <si>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</si>
  <si>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</si>
  <si>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</si>
  <si>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</si>
  <si>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</si>
  <si>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</si>
  <si>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</si>
  <si>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</si>
  <si>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</si>
  <si>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</si>
  <si>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</si>
  <si>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</si>
  <si>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</si>
  <si>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</si>
  <si>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</si>
  <si>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</si>
  <si>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</si>
  <si>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</si>
  <si>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</si>
  <si>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</si>
  <si>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</si>
  <si>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</si>
  <si>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</si>
  <si>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</si>
  <si>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</si>
  <si>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</si>
  <si>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</si>
  <si>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</si>
  <si>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</si>
  <si>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</si>
  <si>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</si>
  <si>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</si>
  <si>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</si>
  <si>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</si>
  <si>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</si>
  <si>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</si>
  <si>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</si>
  <si>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</si>
  <si>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</si>
  <si>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</si>
  <si>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</si>
  <si>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</si>
  <si>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</si>
  <si>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</si>
  <si>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</si>
  <si>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</si>
  <si>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</si>
  <si>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</si>
  <si>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</si>
  <si>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</si>
  <si>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</si>
  <si>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</si>
  <si>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</si>
  <si>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</si>
  <si>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</si>
  <si>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</si>
  <si>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</si>
  <si>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</si>
  <si>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</si>
  <si>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</si>
  <si>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</si>
  <si>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</si>
  <si>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</si>
  <si>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</si>
  <si>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</si>
  <si>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</si>
  <si>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</si>
  <si>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</si>
  <si>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</si>
  <si>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</si>
  <si>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</si>
  <si>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</si>
  <si>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</si>
  <si>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</si>
  <si>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</si>
  <si>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</si>
  <si>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</si>
  <si>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</si>
  <si>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</si>
  <si>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</si>
  <si>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</si>
  <si>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</si>
  <si>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</si>
  <si>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</si>
  <si>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</si>
  <si>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</si>
  <si>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</si>
  <si>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</si>
  <si>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</si>
  <si>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</si>
  <si>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</si>
  <si>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</si>
  <si>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</si>
  <si>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</si>
  <si>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</si>
  <si>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</si>
  <si>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</si>
  <si>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</si>
  <si>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</si>
  <si>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</si>
  <si>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</si>
  <si>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</si>
  <si>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</si>
  <si>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</si>
  <si>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</si>
  <si>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</si>
  <si>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</si>
  <si>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</si>
  <si>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</si>
  <si>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</si>
  <si>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</si>
  <si>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</si>
  <si>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</si>
  <si>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</si>
  <si>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</si>
  <si>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</si>
  <si>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</si>
  <si>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</si>
  <si>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</si>
  <si>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</si>
  <si>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</si>
  <si>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</si>
  <si>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</si>
  <si>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</si>
  <si>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</si>
  <si>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</si>
  <si>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</si>
  <si>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</si>
  <si>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</si>
  <si>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</si>
  <si>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</si>
  <si>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</si>
  <si>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</si>
  <si>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</si>
  <si>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</si>
  <si>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</si>
  <si>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</si>
  <si>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</si>
  <si>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</si>
  <si>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</si>
  <si>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</si>
  <si>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</si>
  <si>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</si>
  <si>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</si>
  <si>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</si>
  <si>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</si>
  <si>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</si>
  <si>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</si>
  <si>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</si>
  <si>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</si>
  <si>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</si>
  <si>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</si>
  <si>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</si>
  <si>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</si>
  <si>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</si>
  <si>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</si>
  <si>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</si>
  <si>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</si>
  <si>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</si>
  <si>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</si>
  <si>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</si>
  <si>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</si>
  <si>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</si>
  <si>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</si>
  <si>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</si>
  <si>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</si>
  <si>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</si>
  <si>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</si>
  <si>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</si>
  <si>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</si>
  <si>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</si>
  <si>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</si>
  <si>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</si>
  <si>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</si>
  <si>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</si>
  <si>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</si>
  <si>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</si>
  <si>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</si>
  <si>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</si>
  <si>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</si>
  <si>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</si>
  <si>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</si>
  <si>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</si>
  <si>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</si>
  <si>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</si>
  <si>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</si>
  <si>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</si>
  <si>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</si>
  <si>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</si>
  <si>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</si>
  <si>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</si>
  <si>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</si>
  <si>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</si>
  <si>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</si>
  <si>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</si>
  <si>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</si>
  <si>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</si>
  <si>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</si>
  <si>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</si>
  <si>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</si>
  <si>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</si>
  <si>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</si>
  <si>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</si>
  <si>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</si>
  <si>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</si>
  <si>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</si>
  <si>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</si>
  <si>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</si>
  <si>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</si>
  <si>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</si>
  <si>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</si>
  <si>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</si>
  <si>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</si>
  <si>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</si>
  <si>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</si>
  <si>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</si>
  <si>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</si>
  <si>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</si>
  <si>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</si>
  <si>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</si>
  <si>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</si>
  <si>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</si>
  <si>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</si>
  <si>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</si>
  <si>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</si>
  <si>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</si>
  <si>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</si>
  <si>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</si>
  <si>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</si>
  <si>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</si>
  <si>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</si>
  <si>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</si>
  <si>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</si>
  <si>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</si>
  <si>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</si>
  <si>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</si>
  <si>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</si>
  <si>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</si>
  <si>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</si>
  <si>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</si>
  <si>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</si>
  <si>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</si>
  <si>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</si>
  <si>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</si>
  <si>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</si>
  <si>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</si>
  <si>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</si>
  <si>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</si>
  <si>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</si>
  <si>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</si>
  <si>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</si>
  <si>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</si>
  <si>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</si>
  <si>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</si>
  <si>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</si>
  <si>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</si>
  <si>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</si>
  <si>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</si>
  <si>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</si>
  <si>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</si>
  <si>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</si>
  <si>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</si>
  <si>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</si>
  <si>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</si>
  <si>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</si>
  <si>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</si>
  <si>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</si>
  <si>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</si>
  <si>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</si>
  <si>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</si>
  <si>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</si>
  <si>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</si>
  <si>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</si>
  <si>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</si>
  <si>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</si>
  <si>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</si>
  <si>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</si>
  <si>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</si>
  <si>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</si>
  <si>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</si>
  <si>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</si>
  <si>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</si>
  <si>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</si>
  <si>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</si>
  <si>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</si>
  <si>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</si>
  <si>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</si>
  <si>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</si>
  <si>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</si>
  <si>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</si>
  <si>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</si>
  <si>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</si>
  <si>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</si>
  <si>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</si>
  <si>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</si>
  <si>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</si>
  <si>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</si>
  <si>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</si>
  <si>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</si>
  <si>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</si>
  <si>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</si>
  <si>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</si>
  <si>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</si>
  <si>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</si>
  <si>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</si>
  <si>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</si>
  <si>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</si>
  <si>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</si>
  <si>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</si>
  <si>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</si>
  <si>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</si>
  <si>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</si>
  <si>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</si>
  <si>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</si>
  <si>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</si>
  <si>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</si>
  <si>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</si>
  <si>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</si>
  <si>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</si>
  <si>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</si>
  <si>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</si>
  <si>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</si>
  <si>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</si>
  <si>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</si>
  <si>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</si>
  <si>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</si>
  <si>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</si>
  <si>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</si>
  <si>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</si>
  <si>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</si>
  <si>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</si>
  <si>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</si>
  <si>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</si>
  <si>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</si>
  <si>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</si>
  <si>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</si>
  <si>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</si>
  <si>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</si>
  <si>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</si>
  <si>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</si>
  <si>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</si>
  <si>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</si>
  <si>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</si>
  <si>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</si>
  <si>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</si>
  <si>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</si>
  <si>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</si>
  <si>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</si>
  <si>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</si>
  <si>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</si>
  <si>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</si>
  <si>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</si>
  <si>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</si>
  <si>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</si>
  <si>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</si>
  <si>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</si>
  <si>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</si>
  <si>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</si>
  <si>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</si>
  <si>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</si>
  <si>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</si>
  <si>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</si>
  <si>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</si>
  <si>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</si>
  <si>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</si>
  <si>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</si>
  <si>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</si>
  <si>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</si>
  <si>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</si>
  <si>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</si>
  <si>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</si>
  <si>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</si>
  <si>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</si>
  <si>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</si>
  <si>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</si>
  <si>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</si>
  <si>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</si>
  <si>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</si>
  <si>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</si>
  <si>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</si>
  <si>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</si>
  <si>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</si>
  <si>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</si>
  <si>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</si>
  <si>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</si>
  <si>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</si>
  <si>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</si>
  <si>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</si>
  <si>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</si>
  <si>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</si>
  <si>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</si>
  <si>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</si>
  <si>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</si>
  <si>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</si>
  <si>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</si>
  <si>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</si>
  <si>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</si>
  <si>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</si>
  <si>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</si>
  <si>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</si>
  <si>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</si>
  <si>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</si>
  <si>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</si>
  <si>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</si>
  <si>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</si>
  <si>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</si>
  <si>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</si>
  <si>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</si>
  <si>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</si>
  <si>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</si>
  <si>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</si>
  <si>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</si>
  <si>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</si>
  <si>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</si>
  <si>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</si>
  <si>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</si>
  <si>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</si>
  <si>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</si>
  <si>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</si>
  <si>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</si>
  <si>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</si>
  <si>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</si>
  <si>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</si>
  <si>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</si>
  <si>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</si>
  <si>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</si>
  <si>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</si>
  <si>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</si>
  <si>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</si>
  <si>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</si>
  <si>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</si>
  <si>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</si>
  <si>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</si>
  <si>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</si>
  <si>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</si>
  <si>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</si>
  <si>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</si>
  <si>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</si>
  <si>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</si>
  <si>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</si>
  <si>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</si>
  <si>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</si>
  <si>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</si>
  <si>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</si>
  <si>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</si>
  <si>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</si>
  <si>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</si>
  <si>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</si>
  <si>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</si>
  <si>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</si>
  <si>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</si>
  <si>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</si>
  <si>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</si>
  <si>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</si>
  <si>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</si>
  <si>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</si>
  <si>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</si>
  <si>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</si>
  <si>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</si>
  <si>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</si>
  <si>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</si>
  <si>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</si>
  <si>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</si>
  <si>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</si>
  <si>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</si>
  <si>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</si>
  <si>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</si>
  <si>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</si>
  <si>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</si>
  <si>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</si>
  <si>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</si>
  <si>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</si>
  <si>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</si>
  <si>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</si>
  <si>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</si>
  <si>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</si>
  <si>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</si>
  <si>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</si>
  <si>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</si>
  <si>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</si>
  <si>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</si>
  <si>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</si>
  <si>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</si>
  <si>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</si>
  <si>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</si>
  <si>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</si>
  <si>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</si>
  <si>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</si>
  <si>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</si>
  <si>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</si>
  <si>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</si>
  <si>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</si>
  <si>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</si>
  <si>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</si>
  <si>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</si>
  <si>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</si>
  <si>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</si>
  <si>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</si>
  <si>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</si>
  <si>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</si>
  <si>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</si>
  <si>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</si>
  <si>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</si>
  <si>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</si>
  <si>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</si>
  <si>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</si>
  <si>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</si>
  <si>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</si>
  <si>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</si>
  <si>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</si>
  <si>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</si>
  <si>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</si>
  <si>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</si>
  <si>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</si>
  <si>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</si>
  <si>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</si>
  <si>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</si>
  <si>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</si>
  <si>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</si>
  <si>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</si>
  <si>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</si>
  <si>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</si>
  <si>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</si>
  <si>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</si>
  <si>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</si>
  <si>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</si>
  <si>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</si>
  <si>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</si>
  <si>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</si>
  <si>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</si>
  <si>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</si>
  <si>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</si>
  <si>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</si>
  <si>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</si>
  <si>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</si>
  <si>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</si>
  <si>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</si>
  <si>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</si>
  <si>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</si>
  <si>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</si>
  <si>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</si>
  <si>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</si>
  <si>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</si>
  <si>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</si>
  <si>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</si>
  <si>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</si>
  <si>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</si>
  <si>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</si>
  <si>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</si>
  <si>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</si>
  <si>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</si>
  <si>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</si>
  <si>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</si>
  <si>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</si>
  <si>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</si>
  <si>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</si>
  <si>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</si>
  <si>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</si>
  <si>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</si>
  <si>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</si>
  <si>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</si>
  <si>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</si>
  <si>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</si>
  <si>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</si>
  <si>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</si>
  <si>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</si>
  <si>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</si>
  <si>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</si>
  <si>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</si>
  <si>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</si>
  <si>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</si>
  <si>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</si>
  <si>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</si>
  <si>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</si>
  <si>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</si>
  <si>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</si>
  <si>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</si>
  <si>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</si>
  <si>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</si>
  <si>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</si>
  <si>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</si>
  <si>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</si>
  <si>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</si>
  <si>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</si>
  <si>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</si>
  <si>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</si>
  <si>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</si>
  <si>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</si>
  <si>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</si>
  <si>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</si>
  <si>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</si>
  <si>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</si>
  <si>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</si>
  <si>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</si>
  <si>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</si>
  <si>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</si>
  <si>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</si>
  <si>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</si>
  <si>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</si>
  <si>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</si>
  <si>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</si>
  <si>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</si>
  <si>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</si>
  <si>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</si>
  <si>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</si>
  <si>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</si>
  <si>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</si>
  <si>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</si>
  <si>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</si>
  <si>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</si>
  <si>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</si>
  <si>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</si>
  <si>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</si>
  <si>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</si>
  <si>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</si>
  <si>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</si>
  <si>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</si>
  <si>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</si>
  <si>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</si>
  <si>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</si>
  <si>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</si>
  <si>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</si>
  <si>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</si>
  <si>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</si>
  <si>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</si>
  <si>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</si>
  <si>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</si>
  <si>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</si>
  <si>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</si>
  <si>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</si>
  <si>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</si>
  <si>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</si>
  <si>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</si>
  <si>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</si>
  <si>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</si>
  <si>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</si>
  <si>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</si>
  <si>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</si>
  <si>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</si>
  <si>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</si>
  <si>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</si>
  <si>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</si>
  <si>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</si>
  <si>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</si>
  <si>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</si>
  <si>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</si>
  <si>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</si>
  <si>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</si>
  <si>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</si>
  <si>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</si>
  <si>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</si>
  <si>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</si>
  <si>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</si>
  <si>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</si>
  <si>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</si>
  <si>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</si>
  <si>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</si>
  <si>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</si>
  <si>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</si>
  <si>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</si>
  <si>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</si>
  <si>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</si>
  <si>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</si>
  <si>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</si>
  <si>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</si>
  <si>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</si>
  <si>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</si>
  <si>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</si>
  <si>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</si>
  <si>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</si>
  <si>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</si>
  <si>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</si>
  <si>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</si>
  <si>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</si>
  <si>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</si>
  <si>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</si>
  <si>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</si>
  <si>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</si>
  <si>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</si>
  <si>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</si>
  <si>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</si>
  <si>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</si>
  <si>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</si>
  <si>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</si>
  <si>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</si>
  <si>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</si>
  <si>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</si>
  <si>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</si>
  <si>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</si>
  <si>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</si>
  <si>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</si>
  <si>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</si>
  <si>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</si>
  <si>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</si>
  <si>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</si>
  <si>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</si>
  <si>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</si>
  <si>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</si>
  <si>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</si>
  <si>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</si>
  <si>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</si>
  <si>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</si>
  <si>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</si>
  <si>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</si>
  <si>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</si>
  <si>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</si>
  <si>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</si>
  <si>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</si>
  <si>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</si>
  <si>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</si>
  <si>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</si>
  <si>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</si>
  <si>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</si>
  <si>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</si>
  <si>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</si>
  <si>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</si>
  <si>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</si>
  <si>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</si>
  <si>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</si>
  <si>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</si>
  <si>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</si>
  <si>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</si>
  <si>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</si>
  <si>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</si>
  <si>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</si>
  <si>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</si>
  <si>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</si>
  <si>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</si>
  <si>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</si>
  <si>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</si>
  <si>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</si>
  <si>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</si>
  <si>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</si>
  <si>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</si>
  <si>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</si>
  <si>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</si>
  <si>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</si>
  <si>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</si>
  <si>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</si>
  <si>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</si>
  <si>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</si>
  <si>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</si>
  <si>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</si>
  <si>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</si>
  <si>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</si>
  <si>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</si>
  <si>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</si>
  <si>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</si>
  <si>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</si>
  <si>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</si>
  <si>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</si>
  <si>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</si>
  <si>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</si>
  <si>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</si>
  <si>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</si>
  <si>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</si>
  <si>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</si>
  <si>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</si>
  <si>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</si>
  <si>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</si>
  <si>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</si>
  <si>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</si>
  <si>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</si>
  <si>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</si>
  <si>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</si>
  <si>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</si>
  <si>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</si>
  <si>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</si>
  <si>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</si>
  <si>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</si>
  <si>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</si>
  <si>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</si>
  <si>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</si>
  <si>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</si>
  <si>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</si>
  <si>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</si>
  <si>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</si>
  <si>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</si>
  <si>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</si>
  <si>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</si>
  <si>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</si>
  <si>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</si>
  <si>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</si>
  <si>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</si>
  <si>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</si>
  <si>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</si>
  <si>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</si>
  <si>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</si>
  <si>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</si>
  <si>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</si>
  <si>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</si>
  <si>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</si>
  <si>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</si>
  <si>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</si>
  <si>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</si>
  <si>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</si>
  <si>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</si>
  <si>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</si>
  <si>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</si>
  <si>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</si>
  <si>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</si>
  <si>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</si>
  <si>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</si>
  <si>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</si>
  <si>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</si>
  <si>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</si>
  <si>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</si>
  <si>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</si>
  <si>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</si>
  <si>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</si>
  <si>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</si>
  <si>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</si>
  <si>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</si>
  <si>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</si>
  <si>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</si>
  <si>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</si>
  <si>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</si>
  <si>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</si>
  <si>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</si>
  <si>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</si>
  <si>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</si>
  <si>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</si>
  <si>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</si>
  <si>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</si>
  <si>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</si>
  <si>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</si>
  <si>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</si>
  <si>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</si>
  <si>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</si>
  <si>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</si>
  <si>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</si>
  <si>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</si>
  <si>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</si>
  <si>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</si>
  <si>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</si>
  <si>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</si>
  <si>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</si>
  <si>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</si>
  <si>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</si>
  <si>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</si>
  <si>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</si>
  <si>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</si>
  <si>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</si>
  <si>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</si>
  <si>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</si>
  <si>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</si>
  <si>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</si>
  <si>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</si>
  <si>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</si>
  <si>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</si>
  <si>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</si>
  <si>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</si>
  <si>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</si>
  <si>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</si>
  <si>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</si>
  <si>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</si>
  <si>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</si>
  <si>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</si>
  <si>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</si>
  <si>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</si>
  <si>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</si>
  <si>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</si>
  <si>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</si>
  <si>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</si>
  <si>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</si>
  <si>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</si>
  <si>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</si>
  <si>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</si>
  <si>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</si>
  <si>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</si>
  <si>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</si>
  <si>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</si>
  <si>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</si>
  <si>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</si>
  <si>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</si>
  <si>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</si>
  <si>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</si>
  <si>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</si>
  <si>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</si>
  <si>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</si>
  <si>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</si>
  <si>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</si>
  <si>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</si>
  <si>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</si>
  <si>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</si>
  <si>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</si>
  <si>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</si>
  <si>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</si>
  <si>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</si>
  <si>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</si>
  <si>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</si>
  <si>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</si>
  <si>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</si>
  <si>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</si>
  <si>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</si>
  <si>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</si>
  <si>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</si>
  <si>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</si>
  <si>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</si>
  <si>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</si>
  <si>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</si>
  <si>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</si>
  <si>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</si>
  <si>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</si>
  <si>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</si>
  <si>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</si>
  <si>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</si>
  <si>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</si>
  <si>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</si>
  <si>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</si>
  <si>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</si>
  <si>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</si>
  <si>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</si>
  <si>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</si>
  <si>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</si>
  <si>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</si>
  <si>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</si>
  <si>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</si>
  <si>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</si>
  <si>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</si>
  <si>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</si>
  <si>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</si>
  <si>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</si>
  <si>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</si>
  <si>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</si>
  <si>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</si>
  <si>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</si>
  <si>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</si>
  <si>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</si>
  <si>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</si>
  <si>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</si>
  <si>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</si>
  <si>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</si>
  <si>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</si>
  <si>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</si>
  <si>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</si>
  <si>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</si>
  <si>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</si>
  <si>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</si>
  <si>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</si>
  <si>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</si>
  <si>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</si>
  <si>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</si>
  <si>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</si>
  <si>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</si>
  <si>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</si>
  <si>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</si>
  <si>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</si>
  <si>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</si>
  <si>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</si>
  <si>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</si>
  <si>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</si>
  <si>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</si>
  <si>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</si>
  <si>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</si>
  <si>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</si>
  <si>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</si>
  <si>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</si>
  <si>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</si>
  <si>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</si>
  <si>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</si>
  <si>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</si>
  <si>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</si>
  <si>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</si>
  <si>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</si>
  <si>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</si>
  <si>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</si>
  <si>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</si>
  <si>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</si>
  <si>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</si>
  <si>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</si>
  <si>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</si>
  <si>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</si>
  <si>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</si>
  <si>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</si>
  <si>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</si>
  <si>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</si>
  <si>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</si>
  <si>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</si>
  <si>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</si>
  <si>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</si>
  <si>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</si>
  <si>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</si>
  <si>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</si>
  <si>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</si>
  <si>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</si>
  <si>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</si>
  <si>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</si>
  <si>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</si>
  <si>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</si>
  <si>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</si>
  <si>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</si>
  <si>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</si>
  <si>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</si>
  <si>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</si>
  <si>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</si>
  <si>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</si>
  <si>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</si>
  <si>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</si>
  <si>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</si>
  <si>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</si>
  <si>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</si>
  <si>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</si>
  <si>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</si>
  <si>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</si>
  <si>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</si>
  <si>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</si>
  <si>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</si>
  <si>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</si>
  <si>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</si>
  <si>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</si>
  <si>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</si>
  <si>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</si>
  <si>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</si>
  <si>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</si>
  <si>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</si>
  <si>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</si>
  <si>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</si>
  <si>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</si>
  <si>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</si>
  <si>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</si>
  <si>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</si>
  <si>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</si>
  <si>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</si>
  <si>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</si>
  <si>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</si>
  <si>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</si>
  <si>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</si>
  <si>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</si>
  <si>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</si>
  <si>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</si>
  <si>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</si>
  <si>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</si>
  <si>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</si>
  <si>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</si>
  <si>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</si>
  <si>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</si>
  <si>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</si>
  <si>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</si>
  <si>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</si>
  <si>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</si>
  <si>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</si>
  <si>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</si>
  <si>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</si>
  <si>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</si>
  <si>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</si>
  <si>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</si>
  <si>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</si>
  <si>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</si>
  <si>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</si>
  <si>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</si>
  <si>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</si>
  <si>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</si>
  <si>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</si>
  <si>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</si>
  <si>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</si>
  <si>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</si>
  <si>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</si>
  <si>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</si>
  <si>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</si>
  <si>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</si>
  <si>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</si>
  <si>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</si>
  <si>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</si>
  <si>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</si>
  <si>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</si>
  <si>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</si>
  <si>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</si>
  <si>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</si>
  <si>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</si>
  <si>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</si>
  <si>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</si>
  <si>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</si>
  <si>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</si>
  <si>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</si>
  <si>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</si>
  <si>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</si>
  <si>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</si>
  <si>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</si>
  <si>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</si>
  <si>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</si>
  <si>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</si>
  <si>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</si>
  <si>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</si>
  <si>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</si>
  <si>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</si>
  <si>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</si>
  <si>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</si>
  <si>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</si>
  <si>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</si>
  <si>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</si>
  <si>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</si>
  <si>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</si>
  <si>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</si>
  <si>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</si>
  <si>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</si>
  <si>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</si>
  <si>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</si>
  <si>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</si>
  <si>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</si>
  <si>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</si>
  <si>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</si>
  <si>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</si>
  <si>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</si>
  <si>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</si>
  <si>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</si>
  <si>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</si>
  <si>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</si>
  <si>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</si>
  <si>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</si>
  <si>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</si>
  <si>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</si>
  <si>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</si>
  <si>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</si>
  <si>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</si>
  <si>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</si>
  <si>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</si>
  <si>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</si>
  <si>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</si>
  <si>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</si>
  <si>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</si>
  <si>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</si>
  <si>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</si>
  <si>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</si>
  <si>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</si>
  <si>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</si>
  <si>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</si>
  <si>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</si>
  <si>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</si>
  <si>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</si>
  <si>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</si>
  <si>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</si>
  <si>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</si>
  <si>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</si>
  <si>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</si>
  <si>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</si>
  <si>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</si>
  <si>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</si>
  <si>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</si>
  <si>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</si>
  <si>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</si>
  <si>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</si>
  <si>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</si>
  <si>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</si>
  <si>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</si>
  <si>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</si>
  <si>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</si>
  <si>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</si>
  <si>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</si>
  <si>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</si>
  <si>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</si>
  <si>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</si>
  <si>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</si>
  <si>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</si>
  <si>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</si>
  <si>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</si>
  <si>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</si>
  <si>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</si>
  <si>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</si>
  <si>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</si>
  <si>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</si>
  <si>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</si>
  <si>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</si>
  <si>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</si>
  <si>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</si>
  <si>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</si>
  <si>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</si>
  <si>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</si>
  <si>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</si>
  <si>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</si>
  <si>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</si>
  <si>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</si>
  <si>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</si>
  <si>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</si>
  <si>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</si>
  <si>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</si>
  <si>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</si>
  <si>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</si>
  <si>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</si>
  <si>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</si>
  <si>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</si>
  <si>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</si>
  <si>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</si>
  <si>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</si>
  <si>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</si>
  <si>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</si>
  <si>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</si>
  <si>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</si>
  <si>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</si>
  <si>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</si>
  <si>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</si>
  <si>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</si>
  <si>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</si>
  <si>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</si>
  <si>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</si>
  <si>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</si>
  <si>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</si>
  <si>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</si>
  <si>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</si>
  <si>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</si>
  <si>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</si>
  <si>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</si>
  <si>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</si>
  <si>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</si>
  <si>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</si>
  <si>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</si>
  <si>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</si>
  <si>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</si>
  <si>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</si>
  <si>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</si>
  <si>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</si>
  <si>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</si>
  <si>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</si>
  <si>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</si>
  <si>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</si>
  <si>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</si>
  <si>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</si>
  <si>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</si>
  <si>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</si>
  <si>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</si>
  <si>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</si>
  <si>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</si>
  <si>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</si>
  <si>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</si>
  <si>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</si>
  <si>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</si>
  <si>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</si>
  <si>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</si>
  <si>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</si>
  <si>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</si>
  <si>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</si>
  <si>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</si>
  <si>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</si>
  <si>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</si>
  <si>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</si>
  <si>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</si>
  <si>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</si>
  <si>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</si>
  <si>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</si>
  <si>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</si>
  <si>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</si>
  <si>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</si>
  <si>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</si>
  <si>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</si>
  <si>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</si>
  <si>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</si>
  <si>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</si>
  <si>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</si>
  <si>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</si>
  <si>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</si>
  <si>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</si>
  <si>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</si>
  <si>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</si>
  <si>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</si>
  <si>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</si>
  <si>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</si>
  <si>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</si>
  <si>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</si>
  <si>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</si>
  <si>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</si>
  <si>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</si>
  <si>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</si>
  <si>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</si>
  <si>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</si>
  <si>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</si>
  <si>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</si>
  <si>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</si>
  <si>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</si>
  <si>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</si>
  <si>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</si>
  <si>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</si>
  <si>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</si>
  <si>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</si>
  <si>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</si>
  <si>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</si>
  <si>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</si>
  <si>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</si>
  <si>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</si>
  <si>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</si>
  <si>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</si>
  <si>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</si>
  <si>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</si>
  <si>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</si>
  <si>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</si>
  <si>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</si>
  <si>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</si>
  <si>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</si>
  <si>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</si>
  <si>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</si>
  <si>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</si>
  <si>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</si>
  <si>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</si>
  <si>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</si>
  <si>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</si>
  <si>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</si>
  <si>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</si>
  <si>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</si>
  <si>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</si>
  <si>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</si>
  <si>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</si>
  <si>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</si>
  <si>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</si>
  <si>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</si>
  <si>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</si>
  <si>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</si>
  <si>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</si>
  <si>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</si>
  <si>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</si>
  <si>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</si>
  <si>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</si>
  <si>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</si>
  <si>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</si>
  <si>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</si>
  <si>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</si>
  <si>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</si>
  <si>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</si>
  <si>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</si>
  <si>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</si>
  <si>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</si>
  <si>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</si>
  <si>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</si>
  <si>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</si>
  <si>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</si>
  <si>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</si>
  <si>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</si>
  <si>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</si>
  <si>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</si>
  <si>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</si>
  <si>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</si>
  <si>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</si>
  <si>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</si>
  <si>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</si>
  <si>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</si>
  <si>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</si>
  <si>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</si>
  <si>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</si>
  <si>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</si>
  <si>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</si>
  <si>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</si>
  <si>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</si>
  <si>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</si>
  <si>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</si>
  <si>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</si>
  <si>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</si>
  <si>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</si>
  <si>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</si>
  <si>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</si>
  <si>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</si>
  <si>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</si>
  <si>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</si>
  <si>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</si>
  <si>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</si>
  <si>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</si>
  <si>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</si>
  <si>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</si>
  <si>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</si>
  <si>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</si>
  <si>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</si>
  <si>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</si>
  <si>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</si>
  <si>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</si>
  <si>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</si>
  <si>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</si>
  <si>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</si>
  <si>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</si>
  <si>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</si>
  <si>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</si>
  <si>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</si>
  <si>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</si>
  <si>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</si>
  <si>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</si>
  <si>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</si>
  <si>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</si>
  <si>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</si>
  <si>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</si>
  <si>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</si>
  <si>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</si>
  <si>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</si>
  <si>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</si>
  <si>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</si>
  <si>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</si>
  <si>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</si>
  <si>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</si>
  <si>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</si>
  <si>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</si>
  <si>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</si>
  <si>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</si>
  <si>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</si>
  <si>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</si>
  <si>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</si>
  <si>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</si>
  <si>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</si>
  <si>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</si>
  <si>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</si>
  <si>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</si>
  <si>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</si>
  <si>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</si>
  <si>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</si>
  <si>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</si>
  <si>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</si>
  <si>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</si>
  <si>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</si>
  <si>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</si>
  <si>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</si>
  <si>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</si>
  <si>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</si>
  <si>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</si>
  <si>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</si>
  <si>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</si>
  <si>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</si>
  <si>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</si>
  <si>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</si>
  <si>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</si>
  <si>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</si>
  <si>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</si>
  <si>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</si>
  <si>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</si>
  <si>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</si>
  <si>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</si>
  <si>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</si>
  <si>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</si>
  <si>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</si>
  <si>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</si>
  <si>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</si>
  <si>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</si>
  <si>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</si>
  <si>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</si>
  <si>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</si>
  <si>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</si>
  <si>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</si>
  <si>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</si>
  <si>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</si>
  <si>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</si>
  <si>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</si>
  <si>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</si>
  <si>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</si>
  <si>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</si>
  <si>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</si>
  <si>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</si>
  <si>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</si>
  <si>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</si>
  <si>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</si>
  <si>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</si>
  <si>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</si>
  <si>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</si>
  <si>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</si>
  <si>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</si>
  <si>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</si>
  <si>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</si>
  <si>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</si>
  <si>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</si>
  <si>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</si>
  <si>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</si>
  <si>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</si>
  <si>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</si>
  <si>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</si>
  <si>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</si>
  <si>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</si>
  <si>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</si>
  <si>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</si>
  <si>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</si>
  <si>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</si>
  <si>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</si>
  <si>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</si>
  <si>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</si>
  <si>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</si>
  <si>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</si>
  <si>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</si>
  <si>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</si>
  <si>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</si>
  <si>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</si>
  <si>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</si>
  <si>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</si>
  <si>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</si>
  <si>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</si>
  <si>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</si>
  <si>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</si>
  <si>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</si>
  <si>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</si>
  <si>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</si>
  <si>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</si>
  <si>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</si>
  <si>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</si>
  <si>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</si>
  <si>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</si>
  <si>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</si>
  <si>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</si>
  <si>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</si>
  <si>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</si>
  <si>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</si>
  <si>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</si>
  <si>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</si>
  <si>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</si>
  <si>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</si>
  <si>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</si>
  <si>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</si>
  <si>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</si>
  <si>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</si>
  <si>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</si>
  <si>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</si>
  <si>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</si>
  <si>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</si>
  <si>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</si>
  <si>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</si>
  <si>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</si>
  <si>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</si>
  <si>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</si>
  <si>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</si>
  <si>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</si>
  <si>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</si>
  <si>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</si>
  <si>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</si>
  <si>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</si>
  <si>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</si>
  <si>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</si>
  <si>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</si>
  <si>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</si>
  <si>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</si>
  <si>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</si>
  <si>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</si>
  <si>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</si>
  <si>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</si>
  <si>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</si>
  <si>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</si>
  <si>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</si>
  <si>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</si>
  <si>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</si>
  <si>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</si>
  <si>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</si>
  <si>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</si>
  <si>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</si>
  <si>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</si>
  <si>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</si>
  <si>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</si>
  <si>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</si>
  <si>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</si>
  <si>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</si>
  <si>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</si>
  <si>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</si>
  <si>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</si>
  <si>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</si>
  <si>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</si>
  <si>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</si>
  <si>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</si>
  <si>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</si>
  <si>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</si>
  <si>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</si>
  <si>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</si>
  <si>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</si>
  <si>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</si>
  <si>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</si>
  <si>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</si>
  <si>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</si>
  <si>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</si>
  <si>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</si>
  <si>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</si>
  <si>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</si>
  <si>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</si>
  <si>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</si>
  <si>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</si>
  <si>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</si>
  <si>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</si>
  <si>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</si>
  <si>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</si>
  <si>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</si>
  <si>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</si>
  <si>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</si>
  <si>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</si>
  <si>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</si>
  <si>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</si>
  <si>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</si>
  <si>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</si>
  <si>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</si>
  <si>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</si>
  <si>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</si>
  <si>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</si>
  <si>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</si>
  <si>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</si>
  <si>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</si>
  <si>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</si>
  <si>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</si>
  <si>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</si>
  <si>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</si>
  <si>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</si>
  <si>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</si>
  <si>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</si>
  <si>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</si>
  <si>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</si>
  <si>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</si>
  <si>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</si>
  <si>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</si>
  <si>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</si>
  <si>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</si>
  <si>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</si>
  <si>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</si>
  <si>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</si>
  <si>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</si>
  <si>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</si>
  <si>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</si>
  <si>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</si>
  <si>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</si>
  <si>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</si>
  <si>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</si>
  <si>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</si>
  <si>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</si>
  <si>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</si>
  <si>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</si>
  <si>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</si>
  <si>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</si>
  <si>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</si>
  <si>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</si>
  <si>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</si>
  <si>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</si>
  <si>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</si>
  <si>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</si>
  <si>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</si>
  <si>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</si>
  <si>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</si>
  <si>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</si>
  <si>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</si>
  <si>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</si>
  <si>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</si>
  <si>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</si>
  <si>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</si>
  <si>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</si>
  <si>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</si>
  <si>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</si>
  <si>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</si>
  <si>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</si>
  <si>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</si>
  <si>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</si>
  <si>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</si>
  <si>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</si>
  <si>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</si>
  <si>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</si>
  <si>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</si>
  <si>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</si>
  <si>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</si>
  <si>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</si>
  <si>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</si>
  <si>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</si>
  <si>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</si>
  <si>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</si>
  <si>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</si>
  <si>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</si>
  <si>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</si>
  <si>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</si>
  <si>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</si>
  <si>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</si>
  <si>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</si>
  <si>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</si>
  <si>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</si>
  <si>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</si>
  <si>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</si>
  <si>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</si>
  <si>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</si>
  <si>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</si>
  <si>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</si>
  <si>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</si>
  <si>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</si>
  <si>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</si>
  <si>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</si>
  <si>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</si>
  <si>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</si>
  <si>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</si>
  <si>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</si>
  <si>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</si>
  <si>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</si>
  <si>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</si>
  <si>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</si>
  <si>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</si>
  <si>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</si>
  <si>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</si>
  <si>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</si>
  <si>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</si>
  <si>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</si>
  <si>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</si>
  <si>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</si>
  <si>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</si>
  <si>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</si>
  <si>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</si>
  <si>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</si>
  <si>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</si>
  <si>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</si>
  <si>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</si>
  <si>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</si>
  <si>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</si>
  <si>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</si>
  <si>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</si>
  <si>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</si>
  <si>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</si>
  <si>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</si>
  <si>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</si>
  <si>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</si>
  <si>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</si>
  <si>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</si>
  <si>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</si>
  <si>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</si>
  <si>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</si>
  <si>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</si>
  <si>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</si>
  <si>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</si>
  <si>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</si>
  <si>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</si>
  <si>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</si>
  <si>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</si>
  <si>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</si>
  <si>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</si>
  <si>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</si>
  <si>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</si>
  <si>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</si>
  <si>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</si>
  <si>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</si>
  <si>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</si>
  <si>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</si>
  <si>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</si>
  <si>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</si>
  <si>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</si>
  <si>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</si>
  <si>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</si>
  <si>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</si>
  <si>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</si>
  <si>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</si>
  <si>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</si>
  <si>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</si>
  <si>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</si>
  <si>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</si>
  <si>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</si>
  <si>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</si>
  <si>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</si>
  <si>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</si>
  <si>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</si>
  <si>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</si>
  <si>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</si>
  <si>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</si>
  <si>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</si>
  <si>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</si>
  <si>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</si>
  <si>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</si>
  <si>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</si>
  <si>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</si>
  <si>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</si>
  <si>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</si>
  <si>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</si>
  <si>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</si>
  <si>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</si>
  <si>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</si>
  <si>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</si>
  <si>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</si>
  <si>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</si>
  <si>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</si>
  <si>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</si>
  <si>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</si>
  <si>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</si>
  <si>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</si>
  <si>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</si>
  <si>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</si>
  <si>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</si>
  <si>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</si>
  <si>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</si>
  <si>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</si>
  <si>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</si>
  <si>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</si>
  <si>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</si>
  <si>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</si>
  <si>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</si>
  <si>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</si>
  <si>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</si>
  <si>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</si>
  <si>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</si>
  <si>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</si>
  <si>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</si>
  <si>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</si>
  <si>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</si>
  <si>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</si>
  <si>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</si>
  <si>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</si>
  <si>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</si>
  <si>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</si>
  <si>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</si>
  <si>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</si>
  <si>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</si>
  <si>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</si>
  <si>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</si>
  <si>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</si>
  <si>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</si>
  <si>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</si>
  <si>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</si>
  <si>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</si>
  <si>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</si>
  <si>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</si>
  <si>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</si>
  <si>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</si>
  <si>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</si>
  <si>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</si>
  <si>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</si>
  <si>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</si>
  <si>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</si>
  <si>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</si>
  <si>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</si>
  <si>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</si>
  <si>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</si>
  <si>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</si>
  <si>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</si>
  <si>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</si>
  <si>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</si>
  <si>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</si>
  <si>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</si>
  <si>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</si>
  <si>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</si>
  <si>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</si>
  <si>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</si>
  <si>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</si>
  <si>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</si>
  <si>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</si>
  <si>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</si>
  <si>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</si>
  <si>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</si>
  <si>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</si>
  <si>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</si>
  <si>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</si>
  <si>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</si>
  <si>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</si>
  <si>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</si>
  <si>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</si>
  <si>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</si>
  <si>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</si>
  <si>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</si>
  <si>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</si>
  <si>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</si>
  <si>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</si>
  <si>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</si>
  <si>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</si>
  <si>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</si>
  <si>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</si>
  <si>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</si>
  <si>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</si>
  <si>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</si>
  <si>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</si>
  <si>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</si>
  <si>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</si>
  <si>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</si>
  <si>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</si>
  <si>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</si>
  <si>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</si>
  <si>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</si>
  <si>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</si>
  <si>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</si>
  <si>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</si>
  <si>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</si>
  <si>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</si>
  <si>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</si>
  <si>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</si>
  <si>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</si>
  <si>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</si>
  <si>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</si>
  <si>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</si>
  <si>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</si>
  <si>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</si>
  <si>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</si>
  <si>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</si>
  <si>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</si>
  <si>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</si>
  <si>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</si>
  <si>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</si>
  <si>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</si>
  <si>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</si>
  <si>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</si>
  <si>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</si>
  <si>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</si>
  <si>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</si>
  <si>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</si>
  <si>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</si>
  <si>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</si>
  <si>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</si>
  <si>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</si>
  <si>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</si>
  <si>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</si>
  <si>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</si>
  <si>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</si>
  <si>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</si>
  <si>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</si>
  <si>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</si>
  <si>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</si>
  <si>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</si>
  <si>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</si>
  <si>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</si>
  <si>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</si>
  <si>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</si>
  <si>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</si>
  <si>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</si>
  <si>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</si>
  <si>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</si>
  <si>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</si>
  <si>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</si>
  <si>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</si>
  <si>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</si>
  <si>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</si>
  <si>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</si>
  <si>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</si>
  <si>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</si>
  <si>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</si>
  <si>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</si>
  <si>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</si>
  <si>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</si>
  <si>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</si>
  <si>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</si>
  <si>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</si>
  <si>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</si>
  <si>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</si>
  <si>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</si>
  <si>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</si>
  <si>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</si>
  <si>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</si>
  <si>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</si>
  <si>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</si>
  <si>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</si>
  <si>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</si>
  <si>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</si>
  <si>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</si>
  <si>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</si>
  <si>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</si>
  <si>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</si>
  <si>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</si>
  <si>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</si>
  <si>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</si>
  <si>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</si>
  <si>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</si>
  <si>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</si>
  <si>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</si>
  <si>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</si>
  <si>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</si>
  <si>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</si>
  <si>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</si>
  <si>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</si>
  <si>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</si>
  <si>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</si>
  <si>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</si>
  <si>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</si>
  <si>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</si>
  <si>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</si>
  <si>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</si>
  <si>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</si>
  <si>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</si>
  <si>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</si>
  <si>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</si>
  <si>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</si>
  <si>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</si>
  <si>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</si>
  <si>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</si>
  <si>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</si>
  <si>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</si>
  <si>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</si>
  <si>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</si>
  <si>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</si>
  <si>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</si>
  <si>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</si>
  <si>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</si>
  <si>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</si>
  <si>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</si>
  <si>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</si>
  <si>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</si>
  <si>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</si>
  <si>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</si>
  <si>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</si>
  <si>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</si>
  <si>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</si>
  <si>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</si>
  <si>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</si>
  <si>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</si>
  <si>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</si>
  <si>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</si>
  <si>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</si>
  <si>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</si>
  <si>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</si>
  <si>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</si>
  <si>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</si>
  <si>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</si>
  <si>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</si>
  <si>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</si>
  <si>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</si>
  <si>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</si>
  <si>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</si>
  <si>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</si>
  <si>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</si>
  <si>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</si>
  <si>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</si>
  <si>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</si>
  <si>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</si>
  <si>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</si>
  <si>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</si>
  <si>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</si>
  <si>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</si>
  <si>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</si>
  <si>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</si>
  <si>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</si>
  <si>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</si>
  <si>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</si>
  <si>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</si>
  <si>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</si>
  <si>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</si>
  <si>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</si>
  <si>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</si>
  <si>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</si>
  <si>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</si>
  <si>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</si>
  <si>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</si>
  <si>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</si>
  <si>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</si>
  <si>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</si>
  <si>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</si>
  <si>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</si>
  <si>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</si>
  <si>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</si>
  <si>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</si>
  <si>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</si>
  <si>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</si>
  <si>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</si>
  <si>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</si>
  <si>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</si>
  <si>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</si>
  <si>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</si>
  <si>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</si>
  <si>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</si>
  <si>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</si>
  <si>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</si>
  <si>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</si>
  <si>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</si>
  <si>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</si>
  <si>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</si>
  <si>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</si>
  <si>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</si>
  <si>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</si>
  <si>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</si>
  <si>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</si>
  <si>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</si>
  <si>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</si>
  <si>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</si>
  <si>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</si>
  <si>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</si>
  <si>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</si>
  <si>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</si>
  <si>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</si>
  <si>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</si>
  <si>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</si>
  <si>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</si>
  <si>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</si>
  <si>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</si>
  <si>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</si>
  <si>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</si>
  <si>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</si>
  <si>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</si>
  <si>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</si>
  <si>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</si>
  <si>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</si>
  <si>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</si>
  <si>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</si>
  <si>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</si>
  <si>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</si>
  <si>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</si>
  <si>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</si>
  <si>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</si>
  <si>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</si>
  <si>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</si>
  <si>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</si>
  <si>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</si>
  <si>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</si>
  <si>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</si>
  <si>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</si>
  <si>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</si>
  <si>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</si>
  <si>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</si>
  <si>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</si>
  <si>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</si>
  <si>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</si>
  <si>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</si>
  <si>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</si>
  <si>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</si>
  <si>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</si>
  <si>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</si>
  <si>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</si>
  <si>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</si>
  <si>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</si>
  <si>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</si>
  <si>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</si>
  <si>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</si>
  <si>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</si>
  <si>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</si>
  <si>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</si>
  <si>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</si>
  <si>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</si>
  <si>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</si>
  <si>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</si>
  <si>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</si>
  <si>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</si>
  <si>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</si>
  <si>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</si>
  <si>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</si>
  <si>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</si>
  <si>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</si>
  <si>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</si>
  <si>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</si>
  <si>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</si>
  <si>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</si>
  <si>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</si>
  <si>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</si>
  <si>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</si>
  <si>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</si>
  <si>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</si>
  <si>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</si>
  <si>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</si>
  <si>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</si>
  <si>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</si>
  <si>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</si>
  <si>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</si>
  <si>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</si>
  <si>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</si>
  <si>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</si>
  <si>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</si>
  <si>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</si>
  <si>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</si>
  <si>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</si>
  <si>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</si>
  <si>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</si>
  <si>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</si>
  <si>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</si>
  <si>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</si>
  <si>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</si>
  <si>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</si>
  <si>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</si>
  <si>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</si>
  <si>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</si>
  <si>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</si>
  <si>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</si>
  <si>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</si>
  <si>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</si>
  <si>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</si>
  <si>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</si>
  <si>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</si>
  <si>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</si>
  <si>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</si>
  <si>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</si>
  <si>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</si>
  <si>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</si>
  <si>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</si>
  <si>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</si>
  <si>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</si>
  <si>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</si>
  <si>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</si>
  <si>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</si>
  <si>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</si>
  <si>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</si>
  <si>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</si>
  <si>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</si>
  <si>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</si>
  <si>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</si>
  <si>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</si>
  <si>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</si>
  <si>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</si>
  <si>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</si>
  <si>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</si>
  <si>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</si>
  <si>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</si>
  <si>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</si>
  <si>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</si>
  <si>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</si>
  <si>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</si>
  <si>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</si>
  <si>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</si>
  <si>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</si>
  <si>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</si>
  <si>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</si>
  <si>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</si>
  <si>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</si>
  <si>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</si>
  <si>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</si>
  <si>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</si>
  <si>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</si>
  <si>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</si>
  <si>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</si>
  <si>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</si>
  <si>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</si>
  <si>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</si>
  <si>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</si>
  <si>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</si>
  <si>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</si>
  <si>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</si>
  <si>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</si>
  <si>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</si>
  <si>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</si>
  <si>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</si>
  <si>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</si>
  <si>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</si>
  <si>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</si>
  <si>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</si>
  <si>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</si>
  <si>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</si>
  <si>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</si>
  <si>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</si>
  <si>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</si>
  <si>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</si>
  <si>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</si>
  <si>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</si>
  <si>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</si>
  <si>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</si>
  <si>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</si>
  <si>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</si>
  <si>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</si>
  <si>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</si>
  <si>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</si>
  <si>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</si>
  <si>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</si>
  <si>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</si>
  <si>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</si>
  <si>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</si>
  <si>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</si>
  <si>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</si>
  <si>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</si>
  <si>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</si>
  <si>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</si>
  <si>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</si>
  <si>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</si>
  <si>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</si>
  <si>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</si>
  <si>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</si>
  <si>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</si>
  <si>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</si>
  <si>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</si>
  <si>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</si>
  <si>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</si>
  <si>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</si>
  <si>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</si>
  <si>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</si>
  <si>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</si>
  <si>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</si>
  <si>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</si>
  <si>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</si>
  <si>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</si>
  <si>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</si>
  <si>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</si>
  <si>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</si>
  <si>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</si>
  <si>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</si>
  <si>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</si>
  <si>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</si>
  <si>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</si>
  <si>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</si>
  <si>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</si>
  <si>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</si>
  <si>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</si>
  <si>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</si>
  <si>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</si>
  <si>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</si>
  <si>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</si>
  <si>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</si>
  <si>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</si>
  <si>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</si>
  <si>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</si>
  <si>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</si>
  <si>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</si>
  <si>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</si>
  <si>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</si>
  <si>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</si>
  <si>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</si>
  <si>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</si>
  <si>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</si>
  <si>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</si>
  <si>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</si>
  <si>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</si>
  <si>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</si>
  <si>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</si>
  <si>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</si>
  <si>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</si>
  <si>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</si>
  <si>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</si>
  <si>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</si>
  <si>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</si>
  <si>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</si>
  <si>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</si>
  <si>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</si>
  <si>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</si>
  <si>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</si>
  <si>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</si>
  <si>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</si>
  <si>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</si>
  <si>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</si>
  <si>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</si>
  <si>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</si>
  <si>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</si>
  <si>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</si>
  <si>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</si>
  <si>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</si>
  <si>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</si>
  <si>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</si>
  <si>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</si>
  <si>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</si>
  <si>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</si>
  <si>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</si>
  <si>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</si>
  <si>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</si>
  <si>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</si>
  <si>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</si>
  <si>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</si>
  <si>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</si>
  <si>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</si>
  <si>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</si>
  <si>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</si>
  <si>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</si>
  <si>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</si>
  <si>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</si>
  <si>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</si>
  <si>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</si>
  <si>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</si>
  <si>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</si>
  <si>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</si>
  <si>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</si>
  <si>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</si>
  <si>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</si>
  <si>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</si>
  <si>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</si>
  <si>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</si>
  <si>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</si>
  <si>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</si>
  <si>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</si>
  <si>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</si>
  <si>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</si>
  <si>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</si>
  <si>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</si>
  <si>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</si>
  <si>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</si>
  <si>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</si>
  <si>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</si>
  <si>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</si>
  <si>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</si>
  <si>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</si>
  <si>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</si>
  <si>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</si>
  <si>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</si>
  <si>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</si>
  <si>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</si>
  <si>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</si>
  <si>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</si>
  <si>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</si>
  <si>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</si>
  <si>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</si>
  <si>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</si>
  <si>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</si>
  <si>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</si>
  <si>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</si>
  <si>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</si>
  <si>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</si>
  <si>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</si>
  <si>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</si>
  <si>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</si>
  <si>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</si>
  <si>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</si>
  <si>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</si>
  <si>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</si>
  <si>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</si>
  <si>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</si>
  <si>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</si>
  <si>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</si>
  <si>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</si>
  <si>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</si>
  <si>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</si>
  <si>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</si>
  <si>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</si>
  <si>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</si>
  <si>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</si>
  <si>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</si>
  <si>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</si>
  <si>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</si>
  <si>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</si>
  <si>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</si>
  <si>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</si>
  <si>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</si>
  <si>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</si>
  <si>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</si>
  <si>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</si>
  <si>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</si>
  <si>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</si>
  <si>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</si>
  <si>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</si>
  <si>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</si>
  <si>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</si>
  <si>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</si>
  <si>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</si>
  <si>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</si>
  <si>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</si>
  <si>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</si>
  <si>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</si>
  <si>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</si>
  <si>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</si>
  <si>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</si>
  <si>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</si>
  <si>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</si>
  <si>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</si>
  <si>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</si>
  <si>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</si>
  <si>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</si>
  <si>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</si>
  <si>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</si>
  <si>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</si>
  <si>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</si>
  <si>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</si>
  <si>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</si>
  <si>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</si>
  <si>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</si>
  <si>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</si>
  <si>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</si>
  <si>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</si>
  <si>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</si>
  <si>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</si>
  <si>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</si>
  <si>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</si>
  <si>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</si>
  <si>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</si>
  <si>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</si>
  <si>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</si>
  <si>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</si>
  <si>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</si>
  <si>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</si>
  <si>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</si>
  <si>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</si>
  <si>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</si>
  <si>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</si>
  <si>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</si>
  <si>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</si>
  <si>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</si>
  <si>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</si>
  <si>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</si>
  <si>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</si>
  <si>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</si>
  <si>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</si>
  <si>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</si>
  <si>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</si>
  <si>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</si>
  <si>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</si>
  <si>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</si>
  <si>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</si>
  <si>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</si>
  <si>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</si>
  <si>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</si>
  <si>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</si>
  <si>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</si>
  <si>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</si>
  <si>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</si>
  <si>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</si>
  <si>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</si>
  <si>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</si>
  <si>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</si>
  <si>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</si>
  <si>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</si>
  <si>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</si>
  <si>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</si>
  <si>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</si>
  <si>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</si>
  <si>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</si>
  <si>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</si>
  <si>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</si>
  <si>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</si>
  <si>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</si>
  <si>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</si>
  <si>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</si>
  <si>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</si>
  <si>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</si>
  <si>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</si>
  <si>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</si>
  <si>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</si>
  <si>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</si>
  <si>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</si>
  <si>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</si>
  <si>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</si>
  <si>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</si>
  <si>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</si>
  <si>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</si>
  <si>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</si>
  <si>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</si>
  <si>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</si>
  <si>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</si>
  <si>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</si>
  <si>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</si>
  <si>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</si>
  <si>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</si>
  <si>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</si>
  <si>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</si>
  <si>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</si>
  <si>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</si>
  <si>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</si>
  <si>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</si>
  <si>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</si>
  <si>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</si>
  <si>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</si>
  <si>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</si>
  <si>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</si>
  <si>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</si>
  <si>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</si>
  <si>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</si>
  <si>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</si>
  <si>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</si>
  <si>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</si>
  <si>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</si>
  <si>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</si>
  <si>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</si>
  <si>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</si>
  <si>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</si>
  <si>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</si>
  <si>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</si>
  <si>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</si>
  <si>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</si>
  <si>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</si>
  <si>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</si>
  <si>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</si>
  <si>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</si>
  <si>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</si>
  <si>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</si>
  <si>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</si>
  <si>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</si>
  <si>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</si>
  <si>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</si>
  <si>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</si>
  <si>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</si>
  <si>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</si>
  <si>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</si>
  <si>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</si>
  <si>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</si>
  <si>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</si>
  <si>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</si>
  <si>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</si>
  <si>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</si>
  <si>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</si>
  <si>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</si>
  <si>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</si>
  <si>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</si>
  <si>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</si>
  <si>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</si>
  <si>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</si>
  <si>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</si>
  <si>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</si>
  <si>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</si>
  <si>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</si>
  <si>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</si>
  <si>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</si>
  <si>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</si>
  <si>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</si>
  <si>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</si>
  <si>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</si>
  <si>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</si>
  <si>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</si>
  <si>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</si>
  <si>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</si>
  <si>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</si>
  <si>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</si>
  <si>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</si>
  <si>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</si>
  <si>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</si>
  <si>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</si>
  <si>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</si>
  <si>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</si>
  <si>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</si>
  <si>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</si>
  <si>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</si>
  <si>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</si>
  <si>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</si>
  <si>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</si>
  <si>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</si>
  <si>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</si>
  <si>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</si>
  <si>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</si>
  <si>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</si>
  <si>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</si>
  <si>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</si>
  <si>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</si>
  <si>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</si>
  <si>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</si>
  <si>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</si>
  <si>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</si>
  <si>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</si>
  <si>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</si>
  <si>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</si>
  <si>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</si>
  <si>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</si>
  <si>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</si>
  <si>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</si>
  <si>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</si>
  <si>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</si>
  <si>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</si>
  <si>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</si>
  <si>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</si>
  <si>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</si>
  <si>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</si>
  <si>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</si>
  <si>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</si>
  <si>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</si>
  <si>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</si>
  <si>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</si>
  <si>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</si>
  <si>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</si>
  <si>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</si>
  <si>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</si>
  <si>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</si>
  <si>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</si>
  <si>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</si>
  <si>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</si>
  <si>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</si>
  <si>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</si>
  <si>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</si>
  <si>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</si>
  <si>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</si>
  <si>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</si>
  <si>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</si>
  <si>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</si>
  <si>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</si>
  <si>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</si>
  <si>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</si>
  <si>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</si>
  <si>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</si>
  <si>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</si>
  <si>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</si>
  <si>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</si>
  <si>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</si>
  <si>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</si>
  <si>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</si>
  <si>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</si>
  <si>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</si>
  <si>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</si>
  <si>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</si>
  <si>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</si>
  <si>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</si>
  <si>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</si>
  <si>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</si>
  <si>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</si>
  <si>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</si>
  <si>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</si>
  <si>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</si>
  <si>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</si>
  <si>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</si>
  <si>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</si>
  <si>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</si>
  <si>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</si>
  <si>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</si>
  <si>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</si>
  <si>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</si>
  <si>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</si>
  <si>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</si>
  <si>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</si>
  <si>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</si>
  <si>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</si>
  <si>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</si>
  <si>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</si>
  <si>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</si>
  <si>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</si>
  <si>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</si>
  <si>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</si>
  <si>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</si>
  <si>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</si>
  <si>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</si>
  <si>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</si>
  <si>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</si>
  <si>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</si>
  <si>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</si>
  <si>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</si>
  <si>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</si>
  <si>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</si>
  <si>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</si>
  <si>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</si>
  <si>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</si>
  <si>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</si>
  <si>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</si>
  <si>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</si>
  <si>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</si>
  <si>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</si>
  <si>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</si>
  <si>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</si>
  <si>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</si>
  <si>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</si>
  <si>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</si>
  <si>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</si>
  <si>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</si>
  <si>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</si>
  <si>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</si>
  <si>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</si>
  <si>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</si>
  <si>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</si>
  <si>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</si>
  <si>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</si>
  <si>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</si>
  <si>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</si>
  <si>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</si>
  <si>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</si>
  <si>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</si>
  <si>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</si>
  <si>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</si>
  <si>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</si>
  <si>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</si>
  <si>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</si>
  <si>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</si>
  <si>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</si>
  <si>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</si>
  <si>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</si>
  <si>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</si>
  <si>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</si>
  <si>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</si>
  <si>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</si>
  <si>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</si>
  <si>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</si>
  <si>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</si>
  <si>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</si>
  <si>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</si>
  <si>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</si>
  <si>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</si>
  <si>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</si>
  <si>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</si>
  <si>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</si>
  <si>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</si>
  <si>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</si>
  <si>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</si>
  <si>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</si>
  <si>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</si>
  <si>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</si>
  <si>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</si>
  <si>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</si>
  <si>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</si>
  <si>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</si>
  <si>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</si>
  <si>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</si>
  <si>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</si>
  <si>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</si>
  <si>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</si>
  <si>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</si>
  <si>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</si>
  <si>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</si>
  <si>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</si>
  <si>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</si>
  <si>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</si>
  <si>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</si>
  <si>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</si>
  <si>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</si>
  <si>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</si>
  <si>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</si>
  <si>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</si>
  <si>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</si>
  <si>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</si>
  <si>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</si>
  <si>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</si>
  <si>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</si>
  <si>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</si>
  <si>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</si>
  <si>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</si>
  <si>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</si>
  <si>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</si>
  <si>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</si>
  <si>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</si>
  <si>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</si>
  <si>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</si>
  <si>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</si>
  <si>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</si>
  <si>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</si>
  <si>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</si>
  <si>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</si>
  <si>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</si>
  <si>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</si>
  <si>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</si>
  <si>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</si>
  <si>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</si>
  <si>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</si>
  <si>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</si>
  <si>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</si>
  <si>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</si>
  <si>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</si>
  <si>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</si>
  <si>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</si>
  <si>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</si>
  <si>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</si>
  <si>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</si>
  <si>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</si>
  <si>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</si>
  <si>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</si>
  <si>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</si>
  <si>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</si>
  <si>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</si>
  <si>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</si>
  <si>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</si>
  <si>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</si>
  <si>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</si>
  <si>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</si>
  <si>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</si>
  <si>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</si>
  <si>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</si>
  <si>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</si>
  <si>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</si>
  <si>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</si>
  <si>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</si>
  <si>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</si>
  <si>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</si>
  <si>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</si>
  <si>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</si>
  <si>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</si>
  <si>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</si>
  <si>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</si>
  <si>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</si>
  <si>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</si>
  <si>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</si>
  <si>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</si>
  <si>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</si>
  <si>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</si>
  <si>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</si>
  <si>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</si>
  <si>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</si>
  <si>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</si>
  <si>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</si>
  <si>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</si>
  <si>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</si>
  <si>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</si>
  <si>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</si>
  <si>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</si>
  <si>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</si>
  <si>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</si>
  <si>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</si>
  <si>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</si>
  <si>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</si>
  <si>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</si>
  <si>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</si>
  <si>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</si>
  <si>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</si>
  <si>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</si>
  <si>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</si>
  <si>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</si>
  <si>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</si>
  <si>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</si>
  <si>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</si>
  <si>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</si>
  <si>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</si>
  <si>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</si>
  <si>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</si>
  <si>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</si>
  <si>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</si>
  <si>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</si>
  <si>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</si>
  <si>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</si>
  <si>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</si>
  <si>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</si>
  <si>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</si>
  <si>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</si>
  <si>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</si>
  <si>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</si>
  <si>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</si>
  <si>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</si>
  <si>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</si>
  <si>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</si>
  <si>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</si>
  <si>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</si>
  <si>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</si>
  <si>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</si>
  <si>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</si>
  <si>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</si>
  <si>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</si>
  <si>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</si>
  <si>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</si>
  <si>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</si>
  <si>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</si>
  <si>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</si>
  <si>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</si>
  <si>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</si>
  <si>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</si>
  <si>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</si>
  <si>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</si>
  <si>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</si>
  <si>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</si>
  <si>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</si>
  <si>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</si>
  <si>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</si>
  <si>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</si>
  <si>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</si>
  <si>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</si>
  <si>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</si>
  <si>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</si>
  <si>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</si>
  <si>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</si>
  <si>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</si>
  <si>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</si>
  <si>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</si>
  <si>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</si>
  <si>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</si>
  <si>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</si>
  <si>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</si>
  <si>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</si>
  <si>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</si>
  <si>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</si>
  <si>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</si>
  <si>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</si>
  <si>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</si>
  <si>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</si>
  <si>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</si>
  <si>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</si>
  <si>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</si>
  <si>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</si>
  <si>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</si>
  <si>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</si>
  <si>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</si>
  <si>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</si>
  <si>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</si>
  <si>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</si>
  <si>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</si>
  <si>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</si>
  <si>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</si>
  <si>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</si>
  <si>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</si>
  <si>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</si>
  <si>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</si>
  <si>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</si>
  <si>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</si>
  <si>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</si>
  <si>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</si>
  <si>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</si>
  <si>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</si>
  <si>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</si>
  <si>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</si>
  <si>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</si>
  <si>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</si>
  <si>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</si>
  <si>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</si>
  <si>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</si>
  <si>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</si>
  <si>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</si>
  <si>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</si>
  <si>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</si>
  <si>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</si>
  <si>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</si>
  <si>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</si>
  <si>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</si>
  <si>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</si>
  <si>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</si>
  <si>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</si>
  <si>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</si>
  <si>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</si>
  <si>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</si>
  <si>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</si>
  <si>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</si>
  <si>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</si>
  <si>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</si>
  <si>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</si>
  <si>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</si>
  <si>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</si>
  <si>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</si>
  <si>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</si>
  <si>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</si>
  <si>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</si>
  <si>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</si>
  <si>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</si>
  <si>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</si>
  <si>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</si>
  <si>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</si>
  <si>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</si>
  <si>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</si>
  <si>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</si>
  <si>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</si>
  <si>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</si>
  <si>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</si>
  <si>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</si>
  <si>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</si>
  <si>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</si>
  <si>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</si>
  <si>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</si>
  <si>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</si>
  <si>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</si>
  <si>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</si>
  <si>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</si>
  <si>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</si>
  <si>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</si>
  <si>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</si>
  <si>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</si>
  <si>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</si>
  <si>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</si>
  <si>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</si>
  <si>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</si>
  <si>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</si>
  <si>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</si>
  <si>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</si>
  <si>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</si>
  <si>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</si>
  <si>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</si>
  <si>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</si>
  <si>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</si>
  <si>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</si>
  <si>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</si>
  <si>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</si>
  <si>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</si>
  <si>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</si>
  <si>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</si>
  <si>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</si>
  <si>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</si>
  <si>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</si>
  <si>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</si>
  <si>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</si>
  <si>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</si>
  <si>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</si>
  <si>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</si>
  <si>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</si>
  <si>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</si>
  <si>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</si>
  <si>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</si>
  <si>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</si>
  <si>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</si>
  <si>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</si>
  <si>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</si>
  <si>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</si>
  <si>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</si>
  <si>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</si>
  <si>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</si>
  <si>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</si>
  <si>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</si>
  <si>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</si>
  <si>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</si>
  <si>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</si>
  <si>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</si>
  <si>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</si>
  <si>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</si>
  <si>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</si>
  <si>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</si>
  <si>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</si>
  <si>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</si>
  <si>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</si>
  <si>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</si>
  <si>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</si>
  <si>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</si>
  <si>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</si>
  <si>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</si>
  <si>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</si>
  <si>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</si>
  <si>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</si>
  <si>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</si>
  <si>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</si>
  <si>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</si>
  <si>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</si>
  <si>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</si>
  <si>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</si>
  <si>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</si>
  <si>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</si>
  <si>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</si>
  <si>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</si>
  <si>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</si>
  <si>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</si>
  <si>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</si>
  <si>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</si>
  <si>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</si>
  <si>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</si>
  <si>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</si>
  <si>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</si>
  <si>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</si>
  <si>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</si>
  <si>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</si>
  <si>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</si>
  <si>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</si>
  <si>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</si>
  <si>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</si>
  <si>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</si>
  <si>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</si>
  <si>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</si>
  <si>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</si>
  <si>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</si>
  <si>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</si>
  <si>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</si>
  <si>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</si>
  <si>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</si>
  <si>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</si>
  <si>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</si>
  <si>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</si>
  <si>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</si>
  <si>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</si>
  <si>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</si>
  <si>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</si>
  <si>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</si>
  <si>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</si>
  <si>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</si>
  <si>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</si>
  <si>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</si>
  <si>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</si>
  <si>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</si>
  <si>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</si>
  <si>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</si>
  <si>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</si>
  <si>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</si>
  <si>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</si>
  <si>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</si>
  <si>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</si>
  <si>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</si>
  <si>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</si>
  <si>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</si>
  <si>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</si>
  <si>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</si>
  <si>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</si>
  <si>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</si>
  <si>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</si>
  <si>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</si>
  <si>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</si>
  <si>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</si>
  <si>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</si>
  <si>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</si>
  <si>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</si>
  <si>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</si>
  <si>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</si>
  <si>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</si>
  <si>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</si>
  <si>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</si>
  <si>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</si>
  <si>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</si>
  <si>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</si>
  <si>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</si>
  <si>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</si>
  <si>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</si>
  <si>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</si>
  <si>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</si>
  <si>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</si>
  <si>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</si>
  <si>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</si>
  <si>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</si>
  <si>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</si>
  <si>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</si>
  <si>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</si>
  <si>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</si>
  <si>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</si>
  <si>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</si>
  <si>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</si>
  <si>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</si>
  <si>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</si>
  <si>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</si>
  <si>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</si>
  <si>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</si>
  <si>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</si>
  <si>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</si>
  <si>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</si>
  <si>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</si>
  <si>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</si>
  <si>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</si>
  <si>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</si>
  <si>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</si>
  <si>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</si>
  <si>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</si>
  <si>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</si>
  <si>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</si>
  <si>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</si>
  <si>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</si>
  <si>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</si>
  <si>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</si>
  <si>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</si>
  <si>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</si>
  <si>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</si>
  <si>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</si>
  <si>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</si>
  <si>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</si>
  <si>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</si>
  <si>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</si>
  <si>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</si>
  <si>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</si>
  <si>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</si>
  <si>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</si>
  <si>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</si>
  <si>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</si>
  <si>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</si>
  <si>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</si>
  <si>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</si>
  <si>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</si>
  <si>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</si>
  <si>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</si>
  <si>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</si>
  <si>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</si>
  <si>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</si>
  <si>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</si>
  <si>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</si>
  <si>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</si>
  <si>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</si>
  <si>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</si>
  <si>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</si>
  <si>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</si>
  <si>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</si>
  <si>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</si>
  <si>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</si>
  <si>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</si>
  <si>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</si>
  <si>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</si>
  <si>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</si>
  <si>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</si>
  <si>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</si>
  <si>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</si>
  <si>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</si>
  <si>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</si>
  <si>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</si>
  <si>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</si>
  <si>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</si>
  <si>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</si>
  <si>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</si>
  <si>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</si>
  <si>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</si>
  <si>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</si>
  <si>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</si>
  <si>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</si>
  <si>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</si>
  <si>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</si>
  <si>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</si>
  <si>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</si>
  <si>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</si>
  <si>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</si>
  <si>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</si>
  <si>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</si>
  <si>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</si>
  <si>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</si>
  <si>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</si>
  <si>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</si>
  <si>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</si>
  <si>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</si>
  <si>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</si>
  <si>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</si>
  <si>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</si>
  <si>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</si>
  <si>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</si>
  <si>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</si>
  <si>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</si>
  <si>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</si>
  <si>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</si>
  <si>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</si>
  <si>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</si>
  <si>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</si>
  <si>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</si>
  <si>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</si>
  <si>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</si>
  <si>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</si>
  <si>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</si>
  <si>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</si>
  <si>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</si>
  <si>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</si>
  <si>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</si>
  <si>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</si>
  <si>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</si>
  <si>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</si>
  <si>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</si>
  <si>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</si>
  <si>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</si>
  <si>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</si>
  <si>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</si>
  <si>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</si>
  <si>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</si>
  <si>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</si>
  <si>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</si>
  <si>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</si>
  <si>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</si>
  <si>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</si>
  <si>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</si>
  <si>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</si>
  <si>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</si>
  <si>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</si>
  <si>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</si>
  <si>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</si>
  <si>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</si>
  <si>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</si>
  <si>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</si>
  <si>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</si>
  <si>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</si>
  <si>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</si>
  <si>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</si>
  <si>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</si>
  <si>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</si>
  <si>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</si>
  <si>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</si>
  <si>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</si>
  <si>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</si>
  <si>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</si>
  <si>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</si>
  <si>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</si>
  <si>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</si>
  <si>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</si>
  <si>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</si>
  <si>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</si>
  <si>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</si>
  <si>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</si>
  <si>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</si>
  <si>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</si>
  <si>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</si>
  <si>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</si>
  <si>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</si>
  <si>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</si>
  <si>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</si>
  <si>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</si>
  <si>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</si>
  <si>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</si>
  <si>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</si>
  <si>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</si>
  <si>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</si>
  <si>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</si>
  <si>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</si>
  <si>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</si>
  <si>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</si>
  <si>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</si>
  <si>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</si>
  <si>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</si>
  <si>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</si>
  <si>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</si>
  <si>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</si>
  <si>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</si>
  <si>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</si>
  <si>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</si>
  <si>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</si>
  <si>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</si>
  <si>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</si>
  <si>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</si>
  <si>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</si>
  <si>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</si>
  <si>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</si>
  <si>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</si>
  <si>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</si>
  <si>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</si>
  <si>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</si>
  <si>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</si>
  <si>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</si>
  <si>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</si>
  <si>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</si>
  <si>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</si>
  <si>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</si>
  <si>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</si>
  <si>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</si>
  <si>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</si>
  <si>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</si>
  <si>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</si>
  <si>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</si>
  <si>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</si>
  <si>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</si>
  <si>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</si>
  <si>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</si>
  <si>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</si>
  <si>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</si>
  <si>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</si>
  <si>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</si>
  <si>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</si>
  <si>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</si>
  <si>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</si>
  <si>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</si>
  <si>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</si>
  <si>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</si>
  <si>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</si>
  <si>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</si>
  <si>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</si>
  <si>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</si>
  <si>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</si>
  <si>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</si>
  <si>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</si>
  <si>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</si>
  <si>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</si>
  <si>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</si>
  <si>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</si>
  <si>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</si>
  <si>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</si>
  <si>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</si>
  <si>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</si>
  <si>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</si>
  <si>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</si>
  <si>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</si>
  <si>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</si>
  <si>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</si>
  <si>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</si>
  <si>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</si>
  <si>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</si>
  <si>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</si>
  <si>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</si>
  <si>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</si>
  <si>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</si>
  <si>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</si>
  <si>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</si>
  <si>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</si>
  <si>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</si>
  <si>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</si>
  <si>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</si>
  <si>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</si>
  <si>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</si>
  <si>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</si>
  <si>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</si>
  <si>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</si>
  <si>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</si>
  <si>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</si>
  <si>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</si>
  <si>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</si>
  <si>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</si>
  <si>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</si>
  <si>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</si>
  <si>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</si>
  <si>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</si>
  <si>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</si>
  <si>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</si>
  <si>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</si>
  <si>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</si>
  <si>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</si>
  <si>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</si>
  <si>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</si>
  <si>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</si>
  <si>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</si>
  <si>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</si>
  <si>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</si>
  <si>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</si>
  <si>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</si>
  <si>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</si>
  <si>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</si>
  <si>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</si>
  <si>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</si>
  <si>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</si>
  <si>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</si>
  <si>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</si>
  <si>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</si>
  <si>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</si>
  <si>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</si>
  <si>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</si>
  <si>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</si>
  <si>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</si>
  <si>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</si>
  <si>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</si>
  <si>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</si>
  <si>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</si>
  <si>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</si>
  <si>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</si>
  <si>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</si>
  <si>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</si>
  <si>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</si>
  <si>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</si>
  <si>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</si>
  <si>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</si>
  <si>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</si>
  <si>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</si>
  <si>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</si>
  <si>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</si>
  <si>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</si>
  <si>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</si>
  <si>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</si>
  <si>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</si>
  <si>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</si>
  <si>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</si>
  <si>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</si>
  <si>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</si>
  <si>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</si>
  <si>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</si>
  <si>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</si>
  <si>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</si>
  <si>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</si>
  <si>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</si>
  <si>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</si>
  <si>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</si>
  <si>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</si>
  <si>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</si>
  <si>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</si>
  <si>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</si>
  <si>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</si>
  <si>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</si>
  <si>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</si>
  <si>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</si>
  <si>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</si>
  <si>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</si>
  <si>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</si>
  <si>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</si>
  <si>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</si>
  <si>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</si>
  <si>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</si>
  <si>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</si>
  <si>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</si>
  <si>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</si>
  <si>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</si>
  <si>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</si>
  <si>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</si>
  <si>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</si>
  <si>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</si>
  <si>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</si>
  <si>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</si>
  <si>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</si>
  <si>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</si>
  <si>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</si>
  <si>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</si>
  <si>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</si>
  <si>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</si>
  <si>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</si>
  <si>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</si>
  <si>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</si>
  <si>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</si>
  <si>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</si>
  <si>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</si>
  <si>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</si>
  <si>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</si>
  <si>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</si>
  <si>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</si>
  <si>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</si>
  <si>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</si>
  <si>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</si>
  <si>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</si>
  <si>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</si>
  <si>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</si>
  <si>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</si>
  <si>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</si>
  <si>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</si>
  <si>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</si>
  <si>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</si>
  <si>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</si>
  <si>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</si>
  <si>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</si>
  <si>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</si>
  <si>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</si>
  <si>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</si>
  <si>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</si>
  <si>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</si>
  <si>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</si>
  <si>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</si>
  <si>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</si>
  <si>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</si>
  <si>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</si>
  <si>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</si>
  <si>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</si>
  <si>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</si>
  <si>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</si>
  <si>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</si>
  <si>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</si>
  <si>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</si>
  <si>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</si>
  <si>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</si>
  <si>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</si>
  <si>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</si>
  <si>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</si>
  <si>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</si>
  <si>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</si>
  <si>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</si>
  <si>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</si>
  <si>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</si>
  <si>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</si>
  <si>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</si>
  <si>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</si>
  <si>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</si>
  <si>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</si>
  <si>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</si>
  <si>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</si>
  <si>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</si>
  <si>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</si>
  <si>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</si>
  <si>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</si>
  <si>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</si>
  <si>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</si>
  <si>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</si>
  <si>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</si>
  <si>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</si>
  <si>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</si>
  <si>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</si>
  <si>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</si>
  <si>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</si>
  <si>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</si>
  <si>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</si>
  <si>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</si>
  <si>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</si>
  <si>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</si>
  <si>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</si>
  <si>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</si>
  <si>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</si>
  <si>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</si>
  <si>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</si>
  <si>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</si>
  <si>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</si>
  <si>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</si>
  <si>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</si>
  <si>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</si>
  <si>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</si>
  <si>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</si>
  <si>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</si>
  <si>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</si>
  <si>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</si>
  <si>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</si>
  <si>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</si>
  <si>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</si>
  <si>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</si>
  <si>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</si>
  <si>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</si>
  <si>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</si>
  <si>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</si>
  <si>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</si>
  <si>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</si>
  <si>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</si>
  <si>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</si>
  <si>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</si>
  <si>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</si>
  <si>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</si>
  <si>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</si>
  <si>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</si>
  <si>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</si>
  <si>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</si>
  <si>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</si>
  <si>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</si>
  <si>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</si>
  <si>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</si>
  <si>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</si>
  <si>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</si>
  <si>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</si>
  <si>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</si>
  <si>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</si>
  <si>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</si>
  <si>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</si>
  <si>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</si>
  <si>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</si>
  <si>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</si>
  <si>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</si>
  <si>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</si>
  <si>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</si>
  <si>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</si>
  <si>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</si>
  <si>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</si>
  <si>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</si>
  <si>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</si>
  <si>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</si>
  <si>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</si>
  <si>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</si>
  <si>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</si>
  <si>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</si>
  <si>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</si>
  <si>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</si>
  <si>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</si>
  <si>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</si>
  <si>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</si>
  <si>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</si>
  <si>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</si>
  <si>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</si>
  <si>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</si>
  <si>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</si>
  <si>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</si>
  <si>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</si>
  <si>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</si>
  <si>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</si>
  <si>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</si>
  <si>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</si>
  <si>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</si>
  <si>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</si>
  <si>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</si>
  <si>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</si>
  <si>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</si>
  <si>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</si>
  <si>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</si>
  <si>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</si>
  <si>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</si>
  <si>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</si>
  <si>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</si>
  <si>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</si>
  <si>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</si>
  <si>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</si>
  <si>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</si>
  <si>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</si>
  <si>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</si>
  <si>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</si>
  <si>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</si>
  <si>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</si>
  <si>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</si>
  <si>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</si>
  <si>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</si>
  <si>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</si>
  <si>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</si>
  <si>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</si>
  <si>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</si>
  <si>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</si>
  <si>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</si>
  <si>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</si>
  <si>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</si>
  <si>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</si>
  <si>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</si>
  <si>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</si>
  <si>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</si>
  <si>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</si>
  <si>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</si>
  <si>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</si>
  <si>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</si>
  <si>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</si>
  <si>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</si>
  <si>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</si>
  <si>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</si>
  <si>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</si>
  <si>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</si>
  <si>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</si>
  <si>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</si>
  <si>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</si>
  <si>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</si>
  <si>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</si>
  <si>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</si>
  <si>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</si>
  <si>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</si>
  <si>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</si>
  <si>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</si>
  <si>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</si>
  <si>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</si>
  <si>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</si>
  <si>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</si>
  <si>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</si>
  <si>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</si>
  <si>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</si>
  <si>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</si>
  <si>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</si>
  <si>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</si>
  <si>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</si>
  <si>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</si>
  <si>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</si>
  <si>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</si>
  <si>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</si>
  <si>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</si>
  <si>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</si>
  <si>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</si>
  <si>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</si>
  <si>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</si>
  <si>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</si>
  <si>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</si>
  <si>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</si>
  <si>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</si>
  <si>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</si>
  <si>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</si>
  <si>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</si>
  <si>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</si>
  <si>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</si>
  <si>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</si>
  <si>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</si>
  <si>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</si>
  <si>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</si>
  <si>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</si>
  <si>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</si>
  <si>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</si>
  <si>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</si>
  <si>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</si>
  <si>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</si>
  <si>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</si>
  <si>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</si>
  <si>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</si>
  <si>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</si>
  <si>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</si>
  <si>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</si>
  <si>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</si>
  <si>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</si>
  <si>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</si>
  <si>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</si>
  <si>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</si>
  <si>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</si>
  <si>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</si>
  <si>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</si>
  <si>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</si>
  <si>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</si>
  <si>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</si>
  <si>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</si>
  <si>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</si>
  <si>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</si>
  <si>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</si>
  <si>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</si>
  <si>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</si>
  <si>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</si>
  <si>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</si>
  <si>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</si>
  <si>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</si>
  <si>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</si>
  <si>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</si>
  <si>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</si>
  <si>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</si>
  <si>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</si>
  <si>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</si>
  <si>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</si>
  <si>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</si>
  <si>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</si>
  <si>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</si>
  <si>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</si>
  <si>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</si>
  <si>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</si>
  <si>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</si>
  <si>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</si>
  <si>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</si>
  <si>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</si>
  <si>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</si>
  <si>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</si>
  <si>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</si>
  <si>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</si>
  <si>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</si>
  <si>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</si>
  <si>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</si>
  <si>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</si>
  <si>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</si>
  <si>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</si>
  <si>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</si>
  <si>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</si>
  <si>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</si>
  <si>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</si>
  <si>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</si>
  <si>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</si>
  <si>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</si>
  <si>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</si>
  <si>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</si>
  <si>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</si>
  <si>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</si>
  <si>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</si>
  <si>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</si>
  <si>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</si>
  <si>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</si>
  <si>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</si>
  <si>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</si>
  <si>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</si>
  <si>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</si>
  <si>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</si>
  <si>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</si>
  <si>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</si>
  <si>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</si>
  <si>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</si>
  <si>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</si>
  <si>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</si>
  <si>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</si>
  <si>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</si>
  <si>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</si>
  <si>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</si>
  <si>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</si>
  <si>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</si>
  <si>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</si>
  <si>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</si>
  <si>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</si>
  <si>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</si>
  <si>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</si>
  <si>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</si>
  <si>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</si>
  <si>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</si>
  <si>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</si>
  <si>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</si>
  <si>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</si>
  <si>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</si>
  <si>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</si>
  <si>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</si>
  <si>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</si>
  <si>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</si>
  <si>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</si>
  <si>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</si>
  <si>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</si>
  <si>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</si>
  <si>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</si>
  <si>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</si>
  <si>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</si>
  <si>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</si>
  <si>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</si>
  <si>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</si>
  <si>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</si>
  <si>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</si>
  <si>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</si>
  <si>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</si>
  <si>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</si>
  <si>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</si>
  <si>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</si>
  <si>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</si>
  <si>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</si>
  <si>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</si>
  <si>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</si>
  <si>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</si>
  <si>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</si>
  <si>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</si>
  <si>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</si>
  <si>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</si>
  <si>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</si>
  <si>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</si>
  <si>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</si>
  <si>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</si>
  <si>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</si>
  <si>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</si>
  <si>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</si>
  <si>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</si>
  <si>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</si>
  <si>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</si>
  <si>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</si>
  <si>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</si>
  <si>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</si>
  <si>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</si>
  <si>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</si>
  <si>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</si>
  <si>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</si>
  <si>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</si>
  <si>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</si>
  <si>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</si>
  <si>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</si>
  <si>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</si>
  <si>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</si>
  <si>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</si>
  <si>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</si>
  <si>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</si>
  <si>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</si>
  <si>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</si>
  <si>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</si>
  <si>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</si>
  <si>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</si>
  <si>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</si>
  <si>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</si>
  <si>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</si>
  <si>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</si>
  <si>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</si>
  <si>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</si>
  <si>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</si>
  <si>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</si>
  <si>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</si>
  <si>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</si>
  <si>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</si>
  <si>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</si>
  <si>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</si>
  <si>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</si>
  <si>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</si>
  <si>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</si>
  <si>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</si>
  <si>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</si>
  <si>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</si>
  <si>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</si>
  <si>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</si>
  <si>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</si>
  <si>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</si>
  <si>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</si>
  <si>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</si>
  <si>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</si>
  <si>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</si>
  <si>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</si>
  <si>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</si>
  <si>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</si>
  <si>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</si>
  <si>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</si>
  <si>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</si>
  <si>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</si>
  <si>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</si>
  <si>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</si>
  <si>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</si>
  <si>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</si>
  <si>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</si>
  <si>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</si>
  <si>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</si>
  <si>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</si>
  <si>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</si>
  <si>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</si>
  <si>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</si>
  <si>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</si>
  <si>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</si>
  <si>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</si>
  <si>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</si>
  <si>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</si>
  <si>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</si>
  <si>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</si>
  <si>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</si>
  <si>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</si>
  <si>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</si>
  <si>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</si>
  <si>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</si>
  <si>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</si>
  <si>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</si>
  <si>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</si>
  <si>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</si>
  <si>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</si>
  <si>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</si>
  <si>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</si>
  <si>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</si>
  <si>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</si>
  <si>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</si>
  <si>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</si>
  <si>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</si>
  <si>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</si>
  <si>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</si>
  <si>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</si>
  <si>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</si>
  <si>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</si>
  <si>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</si>
  <si>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</si>
  <si>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</si>
  <si>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</si>
  <si>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</si>
  <si>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</si>
  <si>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</si>
  <si>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</si>
  <si>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</si>
  <si>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</si>
  <si>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</si>
  <si>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</si>
  <si>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</si>
  <si>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</si>
  <si>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</si>
  <si>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</si>
  <si>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</si>
  <si>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</si>
  <si>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</si>
  <si>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</si>
  <si>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</si>
  <si>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</si>
  <si>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</si>
  <si>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</si>
  <si>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</si>
  <si>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</si>
  <si>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</si>
  <si>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</si>
  <si>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</si>
  <si>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</si>
  <si>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</si>
  <si>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</si>
  <si>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</si>
  <si>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</si>
  <si>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</si>
  <si>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</si>
  <si>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</si>
  <si>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</si>
  <si>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</si>
  <si>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</si>
  <si>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</si>
  <si>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</si>
  <si>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</si>
  <si>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</si>
  <si>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</si>
  <si>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</si>
  <si>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</si>
  <si>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</si>
  <si>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</si>
  <si>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</si>
  <si>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</si>
  <si>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</si>
  <si>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</si>
  <si>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</si>
  <si>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</si>
  <si>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</si>
  <si>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</si>
  <si>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</si>
  <si>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</si>
  <si>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</si>
  <si>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</si>
  <si>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</si>
  <si>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</si>
  <si>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</si>
  <si>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</si>
  <si>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</si>
  <si>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</si>
  <si>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</si>
  <si>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</si>
  <si>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</si>
  <si>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</si>
  <si>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</si>
  <si>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</si>
  <si>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</si>
  <si>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</si>
  <si>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</si>
  <si>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</si>
  <si>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</si>
  <si>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</si>
  <si>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</si>
  <si>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</si>
  <si>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</si>
  <si>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</si>
  <si>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</si>
  <si>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</si>
  <si>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</si>
  <si>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</si>
  <si>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</si>
  <si>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</si>
  <si>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</si>
  <si>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</si>
  <si>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</si>
  <si>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</si>
  <si>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</si>
  <si>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</si>
  <si>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</si>
  <si>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</si>
  <si>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</si>
  <si>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</si>
  <si>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</si>
  <si>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</si>
  <si>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</si>
  <si>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</si>
  <si>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</si>
  <si>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</si>
  <si>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</si>
  <si>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</si>
  <si>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</si>
  <si>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</si>
  <si>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</si>
  <si>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</si>
  <si>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</si>
  <si>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</si>
  <si>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</si>
  <si>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</si>
  <si>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</si>
  <si>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</si>
  <si>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</si>
  <si>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</si>
  <si>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</si>
  <si>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</si>
  <si>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</si>
  <si>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</si>
  <si>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</si>
  <si>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</si>
  <si>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</si>
  <si>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</si>
  <si>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</si>
  <si>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</si>
  <si>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</si>
  <si>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</si>
  <si>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</si>
  <si>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</si>
  <si>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</si>
  <si>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</si>
  <si>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</si>
  <si>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</si>
  <si>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</si>
  <si>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</si>
  <si>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</si>
  <si>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</si>
  <si>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</si>
  <si>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</si>
  <si>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</si>
  <si>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</si>
  <si>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</si>
  <si>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</si>
  <si>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</si>
  <si>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</si>
  <si>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</si>
  <si>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</si>
  <si>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</si>
  <si>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</si>
  <si>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</si>
  <si>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</si>
  <si>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</si>
  <si>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</si>
  <si>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</si>
  <si>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</si>
  <si>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</si>
  <si>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</si>
  <si>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</si>
  <si>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</si>
  <si>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</si>
  <si>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</si>
  <si>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</si>
  <si>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</si>
  <si>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</si>
  <si>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</si>
  <si>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</si>
  <si>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</si>
  <si>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</si>
  <si>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</si>
  <si>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</si>
  <si>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</si>
  <si>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</si>
  <si>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</si>
  <si>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</si>
  <si>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</si>
  <si>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</si>
  <si>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</si>
  <si>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</si>
  <si>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</si>
  <si>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</si>
  <si>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</si>
  <si>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</si>
  <si>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</si>
  <si>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</si>
  <si>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</si>
  <si>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</si>
  <si>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</si>
  <si>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</si>
  <si>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</si>
  <si>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</si>
  <si>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</si>
  <si>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</si>
  <si>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</si>
  <si>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</si>
  <si>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</si>
  <si>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</si>
  <si>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</si>
  <si>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</si>
  <si>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</si>
  <si>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</si>
  <si>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</si>
  <si>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</si>
  <si>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</si>
  <si>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</si>
  <si>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</si>
  <si>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</si>
  <si>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</si>
  <si>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</si>
  <si>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</si>
  <si>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</si>
  <si>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</si>
  <si>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</si>
  <si>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</si>
  <si>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</si>
  <si>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</si>
  <si>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</si>
  <si>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</si>
  <si>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</si>
  <si>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</si>
  <si>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</si>
  <si>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</si>
  <si>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</si>
  <si>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</si>
  <si>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</si>
  <si>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</si>
  <si>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</si>
  <si>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</si>
  <si>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</si>
  <si>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</si>
  <si>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</si>
  <si>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</si>
  <si>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</si>
  <si>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</si>
  <si>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</si>
  <si>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</si>
  <si>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</si>
  <si>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</si>
  <si>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</si>
  <si>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</si>
  <si>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</si>
  <si>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</si>
  <si>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</si>
  <si>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</si>
  <si>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</si>
  <si>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</si>
  <si>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</si>
  <si>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</si>
  <si>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</si>
  <si>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</si>
  <si>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</si>
  <si>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</si>
  <si>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</si>
  <si>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</si>
  <si>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</si>
  <si>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</si>
  <si>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</si>
  <si>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</si>
  <si>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</si>
  <si>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</si>
  <si>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</si>
  <si>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</si>
  <si>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</si>
  <si>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</si>
  <si>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</si>
  <si>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</si>
  <si>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</si>
  <si>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</si>
  <si>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</si>
  <si>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</si>
  <si>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</si>
  <si>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</si>
  <si>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</si>
  <si>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</si>
  <si>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</si>
  <si>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</si>
  <si>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</si>
  <si>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</si>
  <si>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</si>
  <si>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</si>
  <si>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</si>
  <si>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</si>
  <si>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</si>
  <si>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</si>
  <si>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</si>
  <si>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</si>
  <si>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</si>
  <si>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</si>
  <si>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</si>
  <si>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</si>
  <si>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</si>
  <si>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</si>
  <si>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</si>
  <si>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</si>
  <si>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</si>
  <si>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</si>
  <si>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</si>
  <si>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</si>
  <si>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</si>
  <si>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</si>
  <si>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</si>
  <si>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</si>
  <si>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</si>
  <si>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</si>
  <si>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</si>
  <si>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</si>
  <si>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</si>
  <si>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</si>
  <si>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</si>
  <si>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</si>
  <si>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</si>
  <si>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</si>
  <si>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</si>
  <si>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</si>
  <si>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</si>
  <si>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</si>
  <si>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</si>
  <si>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</si>
  <si>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</si>
  <si>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</si>
  <si>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</si>
  <si>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</si>
  <si>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</si>
  <si>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</si>
  <si>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</si>
  <si>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</si>
  <si>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</si>
  <si>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</si>
  <si>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</si>
  <si>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</si>
  <si>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</si>
  <si>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</si>
  <si>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</si>
  <si>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</si>
  <si>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</si>
  <si>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</si>
  <si>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</si>
  <si>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</si>
  <si>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</si>
  <si>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</si>
  <si>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</si>
  <si>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</si>
  <si>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</si>
  <si>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</si>
  <si>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</si>
  <si>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</si>
  <si>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</si>
  <si>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</si>
  <si>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</si>
  <si>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</si>
  <si>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</si>
  <si>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</si>
  <si>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</si>
  <si>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</si>
  <si>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</si>
  <si>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</si>
  <si>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</si>
  <si>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</si>
  <si>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</si>
  <si>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</si>
  <si>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</si>
  <si>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</si>
  <si>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</si>
  <si>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</si>
  <si>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</si>
  <si>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</si>
  <si>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</si>
  <si>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</si>
  <si>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</si>
  <si>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</si>
  <si>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</si>
  <si>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</si>
  <si>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</si>
  <si>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</si>
  <si>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</si>
  <si>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</si>
  <si>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</si>
  <si>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</si>
  <si>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</si>
  <si>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</si>
  <si>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</si>
  <si>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</si>
  <si>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</si>
  <si>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</si>
  <si>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</si>
  <si>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</si>
  <si>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</si>
  <si>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</si>
  <si>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</si>
  <si>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</si>
  <si>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</si>
  <si>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</si>
  <si>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</si>
  <si>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</si>
  <si>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</si>
  <si>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</si>
  <si>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</si>
  <si>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</si>
  <si>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</si>
  <si>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</si>
  <si>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</si>
  <si>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</si>
  <si>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</si>
  <si>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</si>
  <si>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</si>
  <si>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</si>
  <si>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</si>
  <si>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</si>
  <si>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</si>
  <si>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</si>
  <si>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</si>
  <si>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</si>
  <si>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</si>
  <si>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</si>
  <si>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</si>
  <si>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</si>
  <si>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</si>
  <si>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</si>
  <si>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</si>
  <si>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</si>
  <si>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</si>
  <si>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</si>
  <si>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</si>
  <si>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</si>
  <si>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</si>
  <si>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</si>
  <si>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</si>
  <si>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</si>
  <si>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</si>
  <si>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</si>
  <si>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</si>
  <si>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</si>
  <si>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</si>
  <si>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</si>
  <si>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</si>
  <si>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</si>
  <si>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</si>
  <si>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</si>
  <si>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</si>
  <si>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</si>
  <si>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</si>
  <si>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</si>
  <si>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</si>
  <si>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</si>
  <si>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</si>
  <si>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</si>
  <si>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</si>
  <si>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</si>
  <si>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</si>
  <si>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</si>
  <si>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</si>
  <si>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</si>
  <si>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</si>
  <si>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</si>
  <si>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</si>
  <si>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</si>
  <si>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</si>
  <si>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</si>
  <si>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</si>
  <si>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</si>
  <si>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</si>
  <si>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</si>
  <si>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</si>
  <si>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</si>
  <si>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</si>
  <si>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</si>
  <si>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</si>
  <si>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</si>
  <si>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</si>
  <si>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</si>
  <si>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</si>
  <si>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</si>
  <si>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</si>
  <si>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</si>
  <si>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</si>
  <si>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</si>
  <si>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</si>
  <si>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</si>
  <si>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</si>
  <si>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</si>
  <si>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</si>
  <si>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</si>
  <si>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</si>
  <si>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</si>
  <si>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</si>
  <si>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</si>
  <si>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</si>
  <si>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</si>
  <si>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</si>
  <si>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</si>
  <si>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</si>
  <si>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</si>
  <si>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</si>
  <si>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</si>
  <si>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</si>
  <si>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</si>
  <si>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</si>
  <si>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</si>
  <si>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</si>
  <si>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</si>
  <si>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</si>
  <si>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</si>
  <si>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</si>
  <si>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</si>
  <si>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</si>
  <si>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</si>
  <si>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</si>
  <si>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</si>
  <si>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</si>
  <si>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</si>
  <si>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</si>
  <si>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</si>
  <si>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</si>
  <si>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</si>
  <si>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</si>
  <si>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</si>
  <si>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</si>
  <si>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</si>
  <si>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</si>
  <si>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</si>
  <si>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</si>
  <si>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</si>
  <si>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</si>
  <si>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</si>
  <si>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</si>
  <si>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</si>
  <si>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</si>
  <si>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</si>
  <si>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</si>
  <si>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</si>
  <si>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</si>
  <si>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</si>
  <si>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</si>
  <si>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</si>
  <si>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</si>
  <si>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</si>
  <si>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</si>
  <si>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</si>
  <si>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</si>
  <si>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</si>
  <si>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</si>
  <si>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</si>
  <si>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</si>
  <si>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</si>
  <si>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</si>
  <si>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</si>
  <si>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</si>
  <si>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</si>
  <si>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</si>
  <si>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</si>
  <si>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</si>
  <si>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</si>
  <si>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</si>
  <si>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</si>
  <si>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</si>
  <si>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</si>
  <si>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</si>
  <si>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</si>
  <si>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</si>
  <si>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</si>
  <si>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</si>
  <si>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</si>
  <si>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</si>
  <si>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</si>
  <si>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</si>
  <si>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</si>
  <si>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</si>
  <si>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</si>
  <si>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</si>
  <si>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</si>
  <si>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</si>
  <si>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</si>
  <si>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</si>
  <si>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</si>
  <si>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</si>
  <si>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</si>
  <si>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</si>
  <si>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</si>
  <si>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</si>
  <si>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</si>
  <si>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</si>
  <si>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</si>
  <si>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</si>
  <si>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</si>
  <si>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</si>
  <si>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</si>
  <si>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</si>
  <si>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</si>
  <si>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</si>
  <si>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</si>
  <si>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</si>
  <si>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</si>
  <si>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</si>
  <si>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</si>
  <si>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</si>
  <si>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</si>
  <si>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</si>
  <si>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</si>
  <si>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</si>
  <si>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</si>
  <si>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</si>
  <si>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</si>
  <si>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</si>
  <si>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</si>
  <si>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</si>
  <si>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</si>
  <si>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</si>
  <si>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</si>
  <si>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</si>
  <si>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</si>
  <si>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</si>
  <si>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</si>
  <si>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</si>
  <si>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</si>
  <si>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</si>
  <si>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</si>
  <si>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</si>
  <si>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</si>
  <si>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</si>
  <si>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</si>
  <si>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</si>
  <si>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</si>
  <si>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</si>
  <si>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</si>
  <si>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</si>
  <si>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</si>
  <si>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</si>
  <si>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</si>
  <si>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</si>
  <si>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</si>
  <si>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</si>
  <si>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</si>
  <si>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</si>
  <si>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</si>
  <si>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</si>
  <si>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</si>
  <si>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</si>
  <si>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</si>
  <si>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</si>
  <si>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</si>
  <si>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</si>
  <si>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</si>
  <si>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</si>
  <si>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</si>
  <si>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</si>
  <si>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</si>
  <si>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</si>
  <si>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</si>
  <si>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</si>
  <si>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</si>
  <si>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</si>
  <si>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</si>
  <si>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</si>
  <si>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</si>
  <si>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</si>
  <si>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</si>
  <si>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</si>
  <si>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</si>
  <si>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</si>
  <si>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</si>
  <si>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</si>
  <si>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</si>
  <si>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</si>
  <si>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</si>
  <si>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</si>
  <si>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</si>
  <si>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</si>
  <si>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</si>
  <si>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</si>
  <si>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</si>
  <si>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</si>
  <si>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</si>
  <si>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</si>
  <si>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</si>
  <si>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</si>
  <si>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</si>
  <si>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</si>
  <si>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</si>
  <si>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</si>
  <si>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</si>
  <si>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</si>
  <si>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</si>
  <si>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</si>
  <si>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</si>
  <si>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</si>
  <si>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</si>
  <si>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</si>
  <si>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</si>
  <si>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</si>
  <si>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</si>
  <si>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</si>
  <si>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</si>
  <si>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</si>
  <si>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</si>
  <si>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</si>
  <si>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</si>
  <si>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</si>
  <si>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</si>
  <si>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</si>
  <si>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</si>
  <si>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</si>
  <si>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</si>
  <si>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</si>
  <si>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</si>
  <si>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</si>
  <si>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</si>
  <si>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</si>
  <si>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</si>
  <si>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</si>
  <si>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</si>
  <si>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</si>
  <si>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</si>
  <si>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</si>
  <si>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</si>
  <si>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</si>
  <si>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</si>
  <si>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</si>
  <si>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</si>
  <si>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</si>
  <si>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</si>
  <si>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</si>
  <si>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</si>
  <si>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</si>
  <si>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</si>
  <si>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</si>
  <si>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</si>
  <si>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</si>
  <si>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</si>
  <si>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</si>
  <si>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</si>
  <si>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</si>
  <si>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</si>
  <si>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</si>
  <si>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</si>
  <si>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</si>
  <si>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</si>
  <si>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</si>
  <si>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</si>
  <si>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</si>
  <si>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</si>
  <si>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</si>
  <si>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</si>
  <si>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</si>
  <si>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</si>
  <si>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</si>
  <si>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</si>
  <si>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</si>
  <si>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</si>
  <si>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</si>
  <si>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</si>
  <si>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</si>
  <si>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</si>
  <si>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</si>
  <si>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</si>
  <si>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</si>
  <si>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</si>
  <si>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</si>
  <si>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</si>
  <si>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</si>
  <si>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</si>
  <si>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</si>
  <si>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</si>
  <si>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</si>
  <si>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</si>
  <si>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</si>
  <si>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</si>
  <si>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</si>
  <si>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</si>
  <si>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</si>
  <si>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</si>
  <si>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</si>
  <si>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</si>
  <si>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</si>
  <si>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</si>
  <si>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</si>
  <si>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</si>
  <si>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</si>
  <si>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</si>
  <si>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</si>
  <si>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</si>
  <si>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</si>
  <si>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</si>
  <si>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</si>
  <si>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</si>
  <si>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</si>
  <si>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</si>
  <si>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</si>
  <si>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</si>
  <si>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</si>
  <si>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</si>
  <si>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</si>
  <si>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</si>
  <si>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</si>
  <si>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</si>
  <si>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</si>
  <si>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</si>
  <si>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</si>
  <si>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</si>
  <si>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</si>
  <si>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</si>
  <si>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</si>
  <si>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</si>
  <si>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</si>
  <si>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</si>
  <si>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</si>
  <si>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</si>
  <si>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</si>
  <si>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</si>
  <si>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</si>
  <si>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</si>
  <si>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</si>
  <si>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</si>
  <si>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</si>
  <si>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</si>
  <si>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</si>
  <si>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</si>
  <si>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</si>
  <si>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</si>
  <si>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</si>
  <si>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</si>
  <si>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</si>
  <si>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</si>
  <si>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</si>
  <si>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</si>
  <si>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</si>
  <si>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</si>
  <si>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</si>
  <si>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</si>
  <si>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</si>
  <si>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</si>
  <si>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</si>
  <si>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</si>
  <si>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</si>
  <si>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</si>
  <si>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</si>
  <si>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</si>
  <si>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</si>
  <si>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</si>
  <si>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</si>
  <si>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</si>
  <si>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</si>
  <si>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</si>
  <si>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</si>
  <si>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</si>
  <si>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</si>
  <si>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</si>
  <si>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</si>
  <si>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</si>
  <si>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</si>
  <si>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</si>
  <si>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</si>
  <si>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</si>
  <si>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</si>
  <si>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</si>
  <si>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</si>
  <si>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</si>
  <si>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</si>
  <si>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</si>
  <si>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</si>
  <si>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</si>
  <si>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</si>
  <si>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</si>
  <si>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</si>
  <si>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</si>
  <si>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</si>
  <si>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</si>
  <si>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</si>
  <si>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</si>
  <si>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</si>
  <si>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</si>
  <si>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</si>
  <si>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</si>
  <si>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</si>
  <si>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</si>
  <si>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</si>
  <si>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</si>
  <si>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</si>
  <si>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</si>
  <si>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</si>
  <si>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</si>
  <si>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</si>
  <si>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</si>
  <si>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</si>
  <si>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</si>
  <si>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</si>
  <si>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</si>
  <si>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</si>
  <si>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</si>
  <si>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</si>
  <si>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</si>
  <si>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</si>
  <si>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</si>
  <si>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</si>
  <si>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</si>
  <si>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</si>
  <si>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</si>
  <si>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</si>
  <si>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</si>
  <si>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</si>
  <si>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</si>
  <si>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</si>
  <si>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</si>
  <si>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</si>
  <si>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</si>
  <si>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</si>
  <si>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</si>
  <si>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</si>
  <si>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</si>
  <si>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</si>
  <si>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</si>
  <si>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</si>
  <si>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</si>
  <si>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</si>
  <si>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</si>
  <si>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</si>
  <si>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</si>
  <si>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</si>
  <si>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</si>
  <si>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</si>
  <si>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</si>
  <si>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</si>
  <si>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</si>
  <si>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</si>
  <si>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</si>
  <si>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</si>
  <si>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</si>
  <si>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</si>
  <si>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</si>
  <si>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</si>
  <si>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</si>
  <si>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</si>
  <si>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</si>
  <si>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</si>
  <si>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</si>
  <si>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</si>
  <si>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</si>
  <si>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</si>
  <si>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</si>
  <si>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</si>
  <si>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</si>
  <si>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</si>
  <si>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</si>
  <si>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</si>
  <si>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</si>
  <si>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</si>
  <si>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</si>
  <si>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</si>
  <si>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</si>
  <si>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</si>
  <si>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</si>
  <si>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</si>
  <si>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</si>
  <si>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</si>
  <si>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</si>
  <si>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</si>
  <si>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</si>
  <si>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</si>
  <si>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</si>
  <si>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</si>
  <si>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</si>
  <si>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</si>
  <si>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</si>
  <si>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</si>
  <si>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</si>
  <si>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</si>
  <si>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</si>
  <si>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</si>
  <si>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</si>
  <si>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</si>
  <si>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</si>
  <si>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</si>
  <si>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</si>
  <si>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</si>
  <si>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</si>
  <si>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</si>
  <si>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</si>
  <si>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</si>
  <si>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</si>
  <si>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</si>
  <si>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</si>
  <si>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</si>
  <si>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</si>
  <si>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</si>
  <si>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</si>
  <si>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</si>
  <si>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</si>
  <si>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</si>
  <si>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</si>
  <si>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</si>
  <si>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</si>
  <si>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</si>
  <si>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</si>
  <si>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</si>
  <si>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</si>
  <si>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</si>
  <si>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</si>
  <si>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</si>
  <si>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</si>
  <si>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</si>
  <si>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</si>
  <si>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</si>
  <si>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</si>
  <si>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</si>
  <si>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</si>
  <si>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</si>
  <si>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</si>
  <si>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</si>
  <si>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</si>
  <si>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</si>
  <si>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</si>
  <si>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</si>
  <si>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</si>
  <si>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</si>
  <si>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</si>
  <si>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</si>
  <si>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</si>
  <si>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</si>
  <si>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</si>
  <si>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</si>
  <si>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</si>
  <si>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</si>
  <si>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</si>
  <si>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</si>
  <si>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</si>
  <si>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</si>
  <si>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</si>
  <si>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</si>
  <si>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</si>
  <si>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</si>
  <si>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</si>
  <si>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</si>
  <si>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</si>
  <si>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</si>
  <si>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</si>
  <si>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</si>
  <si>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</si>
  <si>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</si>
  <si>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</si>
  <si>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</si>
  <si>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</si>
  <si>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</si>
  <si>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</si>
  <si>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</si>
  <si>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</si>
  <si>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</si>
  <si>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</si>
  <si>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</si>
  <si>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</si>
  <si>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</si>
  <si>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</si>
  <si>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</si>
  <si>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</si>
  <si>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</si>
  <si>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</si>
  <si>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</si>
  <si>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</si>
  <si>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</si>
  <si>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</si>
  <si>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</si>
  <si>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</si>
  <si>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</si>
  <si>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</si>
  <si>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</si>
  <si>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</si>
  <si>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</si>
  <si>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</si>
  <si>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</si>
  <si>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</si>
  <si>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</si>
  <si>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</si>
  <si>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</si>
  <si>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</si>
  <si>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</si>
  <si>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</si>
  <si>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</si>
  <si>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</si>
  <si>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</si>
  <si>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</si>
  <si>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</si>
  <si>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</si>
  <si>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</si>
  <si>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</si>
  <si>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</si>
  <si>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</si>
  <si>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</si>
  <si>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</si>
  <si>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</si>
  <si>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</si>
  <si>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</si>
  <si>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</si>
  <si>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</si>
  <si>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</si>
  <si>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</si>
  <si>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</si>
  <si>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</si>
  <si>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</si>
  <si>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</si>
  <si>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</si>
  <si>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</si>
  <si>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</si>
  <si>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</si>
  <si>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</si>
  <si>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</si>
  <si>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</si>
  <si>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</si>
  <si>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</si>
  <si>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</si>
  <si>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</si>
  <si>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</si>
  <si>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</si>
  <si>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</si>
  <si>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</si>
  <si>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</si>
  <si>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</si>
  <si>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</si>
  <si>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</si>
  <si>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</si>
  <si>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</si>
  <si>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</si>
  <si>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</si>
  <si>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</si>
  <si>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</si>
  <si>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</si>
  <si>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</si>
  <si>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</si>
  <si>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</si>
  <si>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</si>
  <si>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</si>
  <si>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</si>
  <si>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</si>
  <si>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</si>
  <si>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</si>
  <si>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</si>
  <si>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</si>
  <si>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</si>
  <si>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</si>
  <si>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</si>
  <si>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</si>
  <si>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</si>
  <si>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</si>
  <si>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</si>
  <si>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</si>
  <si>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</si>
  <si>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</si>
  <si>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</si>
  <si>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</si>
  <si>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</si>
  <si>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</si>
  <si>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</si>
  <si>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</si>
  <si>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</si>
  <si>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</si>
  <si>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</si>
  <si>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</si>
  <si>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</si>
  <si>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</si>
  <si>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</si>
  <si>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</si>
  <si>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</si>
  <si>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</si>
  <si>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</si>
  <si>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</si>
  <si>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</si>
  <si>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</si>
  <si>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</si>
  <si>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</si>
  <si>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</si>
  <si>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</si>
  <si>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</si>
  <si>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</si>
  <si>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</si>
  <si>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</si>
  <si>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</si>
  <si>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</si>
  <si>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</si>
  <si>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</si>
  <si>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</si>
  <si>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</si>
  <si>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</si>
  <si>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</si>
  <si>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</si>
  <si>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</si>
  <si>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</si>
  <si>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</si>
  <si>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</si>
  <si>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</si>
  <si>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</si>
  <si>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</si>
  <si>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</si>
  <si>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</si>
  <si>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</si>
  <si>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</si>
  <si>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</si>
  <si>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</si>
  <si>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</si>
  <si>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</si>
  <si>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</si>
  <si>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</si>
  <si>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</si>
  <si>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</si>
  <si>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</si>
  <si>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</si>
  <si>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</si>
  <si>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</si>
  <si>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</si>
  <si>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</si>
  <si>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</si>
  <si>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</si>
  <si>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</si>
  <si>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</si>
  <si>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</si>
  <si>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</si>
  <si>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</si>
  <si>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</si>
  <si>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</si>
  <si>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</si>
  <si>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</si>
  <si>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</si>
  <si>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</si>
  <si>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</si>
  <si>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</si>
  <si>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</si>
  <si>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</si>
  <si>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</si>
  <si>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</si>
  <si>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</si>
  <si>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</si>
  <si>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</si>
  <si>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</si>
  <si>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</si>
  <si>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</si>
  <si>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</si>
  <si>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</si>
  <si>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</si>
  <si>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</si>
  <si>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</si>
  <si>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</si>
  <si>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</si>
  <si>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</si>
  <si>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</si>
  <si>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</si>
  <si>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</si>
  <si>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</si>
  <si>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</si>
  <si>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</si>
  <si>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</si>
  <si>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</si>
  <si>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</si>
  <si>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</si>
  <si>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</si>
  <si>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</si>
  <si>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</si>
  <si>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</si>
  <si>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</si>
  <si>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</si>
  <si>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</si>
  <si>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</si>
  <si>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</si>
  <si>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</si>
  <si>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</si>
  <si>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</si>
  <si>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</si>
  <si>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</si>
  <si>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</si>
  <si>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</si>
  <si>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</si>
  <si>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</si>
  <si>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</si>
  <si>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</si>
  <si>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</si>
  <si>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</si>
  <si>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</si>
  <si>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</si>
  <si>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</si>
  <si>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</si>
  <si>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</si>
  <si>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</si>
  <si>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</si>
  <si>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</si>
  <si>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</si>
  <si>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</si>
  <si>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</si>
  <si>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</si>
  <si>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</si>
  <si>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</si>
  <si>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</si>
  <si>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</si>
  <si>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</si>
  <si>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</si>
  <si>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</si>
  <si>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</si>
  <si>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</si>
  <si>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</si>
  <si>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</si>
  <si>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</si>
  <si>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</si>
  <si>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</si>
  <si>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</si>
  <si>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</si>
  <si>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</si>
  <si>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</si>
  <si>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</si>
  <si>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</si>
  <si>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</si>
  <si>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</si>
  <si>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</si>
  <si>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</si>
  <si>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</si>
  <si>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</si>
  <si>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</si>
  <si>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</si>
  <si>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</si>
  <si>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</si>
  <si>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</si>
  <si>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</si>
  <si>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</si>
  <si>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</si>
  <si>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</si>
  <si>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</si>
  <si>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</si>
  <si>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</si>
  <si>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</si>
  <si>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</si>
  <si>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</si>
  <si>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</si>
  <si>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</si>
  <si>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</si>
  <si>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</si>
  <si>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</si>
  <si>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</si>
  <si>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</si>
  <si>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</si>
  <si>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</si>
  <si>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</si>
  <si>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</si>
  <si>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</si>
  <si>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</si>
  <si>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</si>
  <si>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</si>
  <si>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</si>
  <si>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</si>
  <si>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</si>
  <si>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</si>
  <si>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</si>
  <si>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</si>
  <si>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</si>
  <si>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</si>
  <si>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</si>
  <si>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</si>
  <si>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</si>
  <si>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</si>
  <si>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</si>
  <si>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</si>
  <si>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</si>
  <si>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</si>
  <si>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</si>
  <si>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</si>
  <si>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</si>
  <si>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</si>
  <si>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</si>
  <si>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</si>
  <si>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</si>
  <si>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</si>
  <si>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</si>
  <si>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</si>
  <si>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</si>
  <si>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</si>
  <si>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</si>
  <si>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</si>
  <si>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</si>
  <si>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</si>
  <si>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</si>
  <si>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</si>
  <si>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</si>
  <si>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</si>
  <si>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</si>
  <si>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</si>
  <si>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</si>
  <si>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</si>
  <si>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</si>
  <si>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</si>
  <si>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</si>
  <si>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</si>
  <si>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</si>
  <si>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</si>
  <si>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</si>
  <si>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</si>
  <si>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</si>
  <si>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</si>
  <si>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</si>
  <si>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</si>
  <si>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</si>
  <si>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</si>
  <si>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</si>
  <si>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</si>
  <si>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</si>
  <si>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</si>
  <si>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</si>
  <si>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</si>
  <si>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</si>
  <si>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</si>
  <si>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</si>
  <si>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</si>
  <si>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</si>
  <si>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</si>
  <si>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</si>
  <si>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</si>
  <si>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</si>
  <si>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</si>
  <si>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</si>
  <si>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</si>
  <si>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</si>
  <si>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</si>
  <si>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</si>
  <si>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</si>
  <si>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</si>
  <si>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</si>
  <si>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</si>
  <si>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</si>
  <si>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</si>
  <si>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</si>
  <si>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</si>
  <si>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</si>
  <si>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</si>
  <si>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</si>
  <si>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</si>
  <si>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</si>
  <si>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</si>
  <si>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</si>
  <si>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</si>
  <si>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</si>
  <si>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</si>
  <si>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</si>
  <si>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</si>
  <si>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</si>
  <si>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</si>
  <si>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</si>
  <si>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</si>
  <si>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</si>
  <si>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</si>
  <si>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</si>
  <si>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</si>
  <si>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</si>
  <si>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</si>
  <si>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</si>
  <si>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</si>
  <si>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</si>
  <si>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</si>
  <si>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</si>
  <si>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</si>
  <si>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</si>
  <si>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</si>
  <si>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</si>
  <si>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</si>
  <si>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</si>
  <si>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</si>
  <si>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</si>
  <si>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</si>
  <si>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</si>
  <si>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</si>
  <si>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</si>
  <si>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</si>
  <si>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</si>
  <si>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</si>
  <si>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</si>
  <si>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</si>
  <si>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</si>
  <si>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</si>
  <si>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</si>
  <si>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</si>
  <si>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</si>
  <si>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</si>
  <si>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</si>
  <si>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</si>
  <si>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</si>
  <si>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</si>
  <si>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</si>
  <si>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</si>
  <si>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</si>
  <si>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</si>
  <si>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</si>
  <si>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</si>
  <si>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</si>
  <si>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</si>
  <si>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</si>
  <si>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</si>
  <si>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</si>
  <si>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</si>
  <si>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</si>
  <si>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</si>
  <si>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</si>
  <si>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</si>
  <si>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</si>
  <si>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</si>
  <si>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</si>
  <si>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</si>
  <si>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</si>
  <si>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</si>
  <si>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</si>
  <si>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</si>
  <si>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</si>
  <si>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</si>
  <si>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</si>
  <si>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</si>
  <si>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</si>
  <si>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</si>
  <si>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</si>
  <si>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</si>
  <si>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</si>
  <si>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</si>
  <si>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</si>
  <si>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</si>
  <si>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</si>
  <si>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</si>
  <si>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</si>
  <si>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</si>
  <si>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</si>
  <si>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</si>
  <si>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</si>
  <si>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</si>
  <si>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</si>
  <si>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</si>
  <si>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</si>
  <si>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</si>
  <si>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</si>
  <si>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</si>
  <si>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</si>
  <si>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</si>
  <si>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</si>
  <si>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</si>
  <si>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</si>
  <si>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</si>
  <si>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</si>
  <si>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</si>
  <si>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</si>
  <si>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</si>
  <si>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</si>
  <si>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</si>
  <si>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</si>
  <si>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</si>
  <si>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</si>
  <si>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</si>
  <si>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</si>
  <si>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</si>
  <si>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</si>
  <si>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</si>
  <si>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</si>
  <si>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</si>
  <si>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</si>
  <si>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</si>
  <si>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</si>
  <si>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</si>
  <si>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</si>
  <si>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</si>
  <si>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</si>
  <si>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</si>
  <si>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</si>
  <si>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</si>
  <si>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</si>
  <si>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</si>
  <si>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</si>
  <si>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</si>
  <si>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</si>
  <si>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</si>
  <si>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</si>
  <si>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</si>
  <si>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</si>
  <si>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</si>
  <si>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</si>
  <si>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</si>
  <si>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</si>
  <si>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</si>
  <si>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</si>
  <si>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</si>
  <si>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</si>
  <si>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</si>
  <si>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</si>
  <si>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</si>
  <si>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</si>
  <si>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</si>
  <si>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</si>
  <si>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</si>
  <si>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</si>
  <si>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</si>
  <si>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</si>
  <si>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</si>
  <si>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</si>
  <si>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</si>
  <si>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</si>
  <si>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</si>
  <si>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</si>
  <si>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</si>
  <si>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</si>
  <si>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</si>
  <si>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</si>
  <si>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</si>
  <si>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</si>
  <si>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</si>
  <si>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</si>
  <si>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</si>
  <si>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</si>
  <si>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</si>
  <si>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</si>
  <si>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</si>
  <si>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</si>
  <si>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</si>
  <si>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</si>
  <si>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</si>
  <si>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</si>
  <si>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</si>
  <si>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</si>
  <si>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</si>
  <si>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</si>
  <si>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</si>
  <si>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</si>
  <si>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</si>
  <si>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</si>
  <si>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</si>
  <si>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</si>
  <si>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</si>
  <si>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</si>
  <si>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</si>
  <si>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</si>
  <si>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</si>
  <si>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</si>
  <si>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</si>
  <si>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</si>
  <si>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</si>
  <si>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</si>
  <si>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</si>
  <si>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</si>
  <si>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</si>
  <si>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</si>
  <si>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</si>
  <si>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</si>
  <si>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</si>
  <si>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</si>
  <si>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</si>
  <si>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</si>
  <si>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</si>
  <si>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</si>
  <si>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</si>
  <si>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</si>
  <si>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</si>
  <si>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</si>
  <si>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</si>
  <si>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</si>
  <si>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</si>
  <si>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</si>
  <si>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</si>
  <si>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</si>
  <si>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</si>
  <si>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</si>
  <si>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</si>
  <si>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</si>
  <si>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</si>
  <si>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</si>
  <si>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</si>
  <si>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</si>
  <si>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</si>
  <si>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</si>
  <si>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</si>
  <si>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</si>
  <si>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</si>
  <si>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</si>
  <si>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</si>
  <si>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</si>
  <si>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</si>
  <si>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</si>
  <si>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</si>
  <si>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</si>
  <si>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</si>
  <si>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</si>
  <si>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</si>
  <si>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</si>
  <si>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</si>
  <si>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</si>
  <si>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</si>
  <si>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</si>
  <si>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</si>
  <si>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</si>
  <si>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</si>
  <si>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</si>
  <si>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</si>
  <si>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</si>
  <si>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</si>
  <si>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</si>
  <si>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</si>
  <si>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</si>
  <si>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</si>
  <si>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</si>
  <si>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</si>
  <si>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</si>
  <si>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</si>
  <si>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</si>
  <si>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</si>
  <si>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</si>
  <si>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</si>
  <si>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</si>
  <si>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</si>
  <si>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</si>
  <si>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</si>
  <si>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</si>
  <si>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</si>
  <si>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</si>
  <si>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</si>
  <si>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</si>
  <si>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</si>
  <si>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</si>
  <si>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</si>
  <si>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</si>
  <si>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</si>
  <si>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</si>
  <si>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</si>
  <si>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</si>
  <si>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</si>
  <si>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</si>
  <si>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</si>
  <si>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</si>
  <si>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</si>
  <si>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</si>
  <si>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</si>
  <si>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</si>
  <si>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</si>
  <si>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</si>
  <si>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</si>
  <si>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</si>
  <si>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</si>
  <si>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</si>
  <si>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</si>
  <si>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</si>
  <si>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</si>
  <si>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</si>
  <si>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</si>
  <si>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</si>
  <si>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</si>
  <si>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</si>
  <si>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</si>
  <si>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</si>
  <si>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</si>
  <si>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</si>
  <si>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</si>
  <si>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</si>
  <si>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</si>
  <si>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</si>
  <si>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</si>
  <si>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</si>
  <si>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</si>
  <si>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</si>
  <si>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</si>
  <si>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</si>
  <si>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</si>
  <si>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</si>
  <si>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</si>
  <si>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</si>
  <si>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</si>
  <si>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</si>
  <si>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</si>
  <si>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</si>
  <si>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</si>
  <si>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</si>
  <si>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</si>
  <si>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</si>
  <si>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</si>
  <si>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</si>
  <si>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</si>
  <si>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</si>
  <si>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</si>
  <si>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</si>
  <si>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</si>
  <si>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</si>
  <si>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</si>
  <si>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</si>
  <si>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</si>
  <si>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</si>
  <si>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</si>
  <si>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</si>
  <si>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</si>
  <si>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</si>
  <si>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</si>
  <si>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</si>
  <si>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</si>
  <si>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</si>
  <si>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</si>
  <si>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</si>
  <si>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</si>
  <si>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</si>
  <si>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</si>
  <si>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</si>
  <si>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</si>
  <si>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</si>
  <si>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</si>
  <si>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</si>
  <si>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</si>
  <si>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</si>
  <si>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</si>
  <si>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</si>
  <si>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</si>
  <si>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</si>
  <si>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</si>
  <si>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</si>
  <si>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</si>
  <si>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</si>
  <si>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</si>
  <si>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</si>
  <si>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</si>
  <si>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</si>
  <si>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</si>
  <si>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</si>
  <si>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</si>
  <si>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</si>
  <si>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</si>
  <si>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</si>
  <si>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</si>
  <si>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</si>
  <si>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</si>
  <si>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</si>
  <si>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</si>
  <si>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</si>
  <si>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</si>
  <si>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</si>
  <si>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</si>
  <si>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</si>
  <si>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</si>
  <si>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</si>
  <si>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</si>
  <si>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</si>
  <si>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</si>
  <si>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</si>
  <si>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</si>
  <si>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</si>
  <si>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</si>
  <si>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</si>
  <si>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</si>
  <si>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</si>
  <si>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</si>
  <si>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</si>
  <si>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</si>
  <si>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</si>
  <si>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</si>
  <si>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</si>
  <si>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</si>
  <si>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</si>
  <si>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</si>
  <si>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</si>
  <si>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</si>
  <si>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</si>
  <si>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</si>
  <si>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</si>
  <si>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</si>
  <si>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</si>
  <si>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</si>
  <si>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</si>
  <si>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</si>
  <si>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</si>
  <si>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</si>
  <si>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</si>
  <si>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</si>
  <si>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</si>
  <si>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</si>
  <si>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</si>
  <si>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</si>
  <si>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</si>
  <si>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</si>
  <si>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</si>
  <si>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</si>
  <si>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</si>
  <si>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</si>
  <si>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</si>
  <si>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</si>
  <si>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</si>
  <si>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</si>
  <si>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</si>
  <si>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</si>
  <si>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</si>
  <si>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</si>
  <si>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</si>
  <si>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</si>
  <si>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</si>
  <si>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</si>
  <si>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</si>
  <si>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</si>
  <si>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</si>
  <si>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</si>
  <si>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</si>
  <si>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</si>
  <si>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</si>
  <si>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</si>
  <si>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</si>
  <si>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</si>
  <si>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</si>
  <si>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</si>
  <si>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</si>
  <si>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</si>
  <si>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</si>
  <si>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</si>
  <si>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</si>
  <si>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</si>
  <si>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</si>
  <si>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</si>
  <si>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</si>
  <si>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</si>
  <si>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</si>
  <si>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</si>
  <si>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</si>
  <si>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</si>
  <si>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</si>
  <si>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</si>
  <si>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</si>
  <si>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</si>
  <si>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</si>
  <si>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</si>
  <si>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</si>
  <si>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</si>
  <si>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</si>
  <si>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</si>
  <si>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</si>
  <si>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</si>
  <si>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</si>
  <si>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</si>
  <si>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</si>
  <si>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</si>
  <si>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</si>
  <si>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</si>
  <si>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</si>
  <si>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</si>
  <si>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</si>
  <si>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</si>
  <si>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</si>
  <si>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</si>
  <si>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</si>
  <si>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</si>
  <si>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</si>
  <si>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</si>
  <si>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</si>
  <si>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</si>
  <si>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</si>
  <si>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</si>
  <si>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</si>
  <si>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 Name</t>
  </si>
  <si>
    <t>Sum of Sales</t>
  </si>
  <si>
    <t>Arabica</t>
  </si>
  <si>
    <t>Excesla</t>
  </si>
  <si>
    <t>Liberica</t>
  </si>
  <si>
    <t>Robusta</t>
  </si>
  <si>
    <t>Grand Total</t>
  </si>
  <si>
    <t>2019</t>
  </si>
  <si>
    <t>2020</t>
  </si>
  <si>
    <t>2021</t>
  </si>
  <si>
    <t>2022</t>
  </si>
  <si>
    <t>Jan</t>
  </si>
  <si>
    <t>Feb</t>
  </si>
  <si>
    <t>Mar</t>
  </si>
  <si>
    <t>Apr</t>
  </si>
  <si>
    <t>May</t>
  </si>
  <si>
    <t>Jun</t>
  </si>
  <si>
    <t>Jul</t>
  </si>
  <si>
    <t>Aug</t>
  </si>
  <si>
    <t>Sep</t>
  </si>
  <si>
    <t>Oct</t>
  </si>
  <si>
    <t>Nov</t>
  </si>
  <si>
    <t>Dec</t>
  </si>
  <si>
    <t>Years (Order Date)</t>
  </si>
  <si>
    <t>Months (Order Date)</t>
  </si>
  <si>
    <t xml:space="preserve"> </t>
  </si>
  <si>
    <t>Loyality Card</t>
  </si>
  <si>
    <t>Mean</t>
  </si>
  <si>
    <t>Standard Error</t>
  </si>
  <si>
    <t>Median</t>
  </si>
  <si>
    <t>Mode</t>
  </si>
  <si>
    <t>Standard Deviation</t>
  </si>
  <si>
    <t>Sample Variance</t>
  </si>
  <si>
    <t>Kurtosis</t>
  </si>
  <si>
    <t>Skewness</t>
  </si>
  <si>
    <t>Range</t>
  </si>
  <si>
    <t>Minimum</t>
  </si>
  <si>
    <t>Maximum</t>
  </si>
  <si>
    <t>Sum</t>
  </si>
  <si>
    <t>Count</t>
  </si>
  <si>
    <t>Largest(1)</t>
  </si>
  <si>
    <t>Confidence Level(95.0%)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</si>
</sst>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164" formatCode="0.0"/>
    <numFmt numFmtId="165" formatCode="dd/mmm/yyyy"/>
    <numFmt numFmtId="166" formatCode="0.0\ &quot;kg&quot;"/>
    <numFmt numFmtId="167" formatCode="_(&quot;$&quot;* #,##0_);_(&quot;$&quot;* \(#,##0\);_(&quot;$&quot;* &quot;-&quot;??_);_(@_)"/>
  </numFmts>
  <fonts count="6" x14ac:knownFonts="1">
    <font>
      <sz val="11"/>
      <color theme="1"/>
      <name val="Calibri"/>
      <family val="2"/>
      <scheme val="minor"/>
    </font>
    <font>
      <sz val="11"/>
      <color indexed="8"/>
      <name val="Calibri"/>
      <family val="2"/>
    </font>
    <font>
      <b/>
      <sz val="11"/>
      <color theme="1"/>
      <name val="Calibri"/>
      <family val="2"/>
      <scheme val="minor"/>
    </font>
    <font>
      <sz val="11"/>
      <color theme="1"/>
      <name val="Calibri"/>
      <family val="2"/>
      <scheme val="minor"/>
    </font>
    <font>
      <b/>
      <sz val="11"/>
      <color theme="0" tint="-4.9989318521683403E-2"/>
      <name val="Calibri"/>
      <family val="2"/>
    </font>
    <font>
      <b/>
      <sz val="11"/>
      <color theme="0" tint="-4.9989318521683403E-2"/>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4" tint="-0.249977111117893"/>
        <bgColor indexed="64"/>
      </patternFill>
    </fill>
  </fills>
  <borders count="2">
    <border>
      <left/>
      <right/>
      <top/>
      <bottom/>
      <diagonal/>
    </border>
    <border>
      <left/>
      <right/>
      <top/>
      <bottom style="medium">
        <color indexed="64"/>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164"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0" fillId="2" borderId="0" xfId="0" applyFill="1"/>
    <xf numFmtId="0" fontId="2" fillId="0" borderId="0" xfId="0" applyFont="1"/>
    <xf numFmtId="165" fontId="1" fillId="0" borderId="0" xfId="0" applyNumberFormat="1" applyFont="1" applyAlignment="1">
      <alignment vertical="center"/>
    </xf>
    <xf numFmtId="166" fontId="0" fillId="0" borderId="0" xfId="0" applyNumberFormat="1"/>
    <xf numFmtId="44" fontId="0" fillId="0" borderId="0" xfId="1" applyFont="1"/>
    <xf numFmtId="0" fontId="4" fillId="3" borderId="0" xfId="0" applyFont="1" applyFill="1" applyAlignment="1">
      <alignment vertical="center"/>
    </xf>
    <xf numFmtId="0" fontId="5" fillId="3" borderId="0" xfId="0" applyFont="1" applyFill="1"/>
    <xf numFmtId="0" fontId="0" fillId="0" borderId="0" xfId="0" pivotButton="1"/>
    <xf numFmtId="42" fontId="0" fillId="0" borderId="0" xfId="0" applyNumberFormat="1"/>
    <xf numFmtId="167" fontId="0" fillId="0" borderId="0" xfId="1" applyNumberFormat="1" applyFont="1" applyFill="1" applyBorder="1" applyAlignment="1"/>
    <xf numFmtId="0" fontId="0" fillId="0" borderId="1" xfId="0" applyBorder="1"/>
    <xf numFmtId="167" fontId="0" fillId="0" borderId="1" xfId="1" applyNumberFormat="1" applyFont="1" applyFill="1" applyBorder="1" applyAlignment="1"/>
  </cellXfs>
  <cellStyles count="2">
    <cellStyle name="Currency" xfId="1" builtinId="4"/>
    <cellStyle name="Normal" xfId="0" builtinId="0"/>
  </cellStyles>
  <dxfs count="18">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Calibri"/>
        <family val="2"/>
        <scheme val="none"/>
      </font>
      <fill>
        <patternFill patternType="solid">
          <fgColor indexed="64"/>
          <bgColor theme="4" tint="-0.249977111117893"/>
        </patternFill>
      </fill>
      <alignment horizontal="general" vertical="center" textRotation="0" wrapText="0" indent="0" justifyLastLine="0" shrinkToFit="0" readingOrder="0"/>
    </dxf>
    <dxf>
      <font>
        <b/>
        <i val="0"/>
        <sz val="11"/>
        <color theme="1"/>
        <name val="Calibri"/>
        <family val="2"/>
        <scheme val="minor"/>
      </font>
    </dxf>
    <dxf>
      <fill>
        <patternFill patternType="solid">
          <fgColor theme="0"/>
          <bgColor rgb="FFD9DACC"/>
        </patternFill>
      </fill>
      <border diagonalUp="0" diagonalDown="0">
        <left/>
        <right/>
        <top/>
        <bottom/>
        <vertical/>
        <horizontal/>
      </border>
    </dxf>
    <dxf>
      <font>
        <b/>
        <i val="0"/>
        <sz val="11"/>
        <name val="Calibri Light"/>
        <family val="2"/>
        <scheme val="major"/>
      </font>
    </dxf>
    <dxf>
      <fill>
        <patternFill>
          <fgColor rgb="FFC5BAA7"/>
          <bgColor rgb="FFC5BAA7"/>
        </patternFill>
      </fill>
    </dxf>
    <dxf>
      <font>
        <b/>
        <i val="0"/>
        <sz val="11"/>
        <color theme="1" tint="0.24994659260841701"/>
        <name val="Calibri Light"/>
        <family val="2"/>
        <scheme val="major"/>
      </font>
    </dxf>
    <dxf>
      <fill>
        <patternFill>
          <bgColor rgb="FFC5BAA7"/>
        </patternFill>
      </fill>
    </dxf>
  </dxfs>
  <tableStyles count="3" defaultTableStyle="TableStyleMedium2" defaultPivotStyle="PivotStyleMedium9">
    <tableStyle name="Slicer Style 1" pivot="0" table="0" count="4" xr9:uid="{DA230CF2-DB1A-462F-B81D-12A0939E57C6}">
      <tableStyleElement type="wholeTable" dxfId="17"/>
      <tableStyleElement type="headerRow" dxfId="16"/>
    </tableStyle>
    <tableStyle name="Slicer Style 2" pivot="0" table="0" count="4" xr9:uid="{412D69E8-8A9E-415E-B397-F173CB3CDB63}">
      <tableStyleElement type="wholeTable" dxfId="15"/>
      <tableStyleElement type="headerRow" dxfId="14"/>
    </tableStyle>
    <tableStyle name="Timeline Style 1" pivot="0" table="0" count="9" xr9:uid="{C1812DF0-EE8D-465D-97C8-B8D4FA6E9EB8}">
      <tableStyleElement type="wholeTable" dxfId="13"/>
      <tableStyleElement type="headerRow" dxfId="12"/>
    </tableStyle>
  </tableStyles>
  <colors>
    <mruColors>
      <color rgb="FFC5BAA7"/>
      <color rgb="FFD9DACC"/>
      <color rgb="FF9C8867"/>
      <color rgb="FFBDBBB7"/>
      <color rgb="FFAEACA3"/>
      <color rgb="FF21574A"/>
    </mruColors>
  </colors>
  <extLst>
    <ext xmlns:x14="http://schemas.microsoft.com/office/spreadsheetml/2009/9/main" uri="{46F421CA-312F-682f-3DD2-61675219B42D}">
      <x14:dxfs count="4">
        <dxf>
          <fill>
            <patternFill>
              <bgColor rgb="FFD9DACC"/>
            </patternFill>
          </fill>
        </dxf>
        <dxf>
          <fill>
            <patternFill>
              <fgColor rgb="FFC5BAA7"/>
            </patternFill>
          </fill>
        </dxf>
        <dxf>
          <font>
            <color theme="1" tint="0.24994659260841701"/>
          </font>
        </dxf>
        <dxf>
          <fill>
            <patternFill>
              <bgColor rgb="FFD9DAC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rgb="FFD9DACC"/>
            </patternFill>
          </fill>
        </dxf>
        <dxf>
          <fill>
            <patternFill patternType="solid">
              <fgColor theme="0" tint="-0.1498764000366222"/>
              <bgColor rgb="FFC5BAA7"/>
            </patternFill>
          </fill>
        </dxf>
        <dxf>
          <fill>
            <patternFill patternType="solid">
              <fgColor theme="0"/>
              <bgColor rgb="FF9C8867"/>
            </patternFill>
          </fill>
        </dxf>
        <dxf>
          <font>
            <sz val="9"/>
            <color theme="1" tint="0.24994659260841701"/>
            <name val="Calibri"/>
            <family val="2"/>
            <scheme val="minor"/>
          </font>
        </dxf>
        <dxf>
          <font>
            <sz val="9"/>
            <color theme="1" tint="0.24994659260841701"/>
            <name val="Calibri"/>
            <family val="2"/>
            <scheme val="minor"/>
          </font>
        </dxf>
        <dxf>
          <font>
            <sz val="9"/>
            <color theme="1"/>
            <name val="Calibri"/>
            <family val="2"/>
            <scheme val="minor"/>
          </font>
        </dxf>
        <dxf>
          <font>
            <sz val="10"/>
            <color theme="1" tint="0.2499465926084170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[PROJECT-1_CoffeeSales.xlsx]Totalsales!PivotTable1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p>
        </c:rich>
      </c:tx>
      <c:layout>
        <c:manualLayout>
          <c:xMode val="edge"/>
          <c:yMode val="edge"/>
          <c:x val="0.37538702723887907"/>
          <c:y val="3.1372549019607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Totalsales!$A$5:$B$57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Totalsales!$C$5:$C$57</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97FA-4A80-8DD6-6F1CD9914CA4}"/>
            </c:ext>
          </c:extLst>
        </c:ser>
        <c:ser>
          <c:idx val="1"/>
          <c:order val="1"/>
          <c:tx>
            <c:strRef>
              <c:f>Totalsales!$D$3:$D$4</c:f>
              <c:strCache>
                <c:ptCount val="1"/>
                <c:pt idx="0">
                  <c:v>Excesla</c:v>
                </c:pt>
              </c:strCache>
            </c:strRef>
          </c:tx>
          <c:spPr>
            <a:ln w="28575" cap="rnd">
              <a:solidFill>
                <a:schemeClr val="accent2"/>
              </a:solidFill>
              <a:round/>
            </a:ln>
            <a:effectLst/>
          </c:spPr>
          <c:marker>
            <c:symbol val="none"/>
          </c:marker>
          <c:cat>
            <c:multiLvlStrRef>
              <c:f>Totalsales!$A$5:$B$57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Totalsales!$D$5:$D$57</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97FA-4A80-8DD6-6F1CD9914CA4}"/>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Totalsales!$A$5:$B$57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Totalsales!$E$5:$E$57</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425A-4E42-8E87-9E535AC624DF}"/>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Totalsales!$A$5:$B$57</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Totalsales!$F$5:$F$57</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25A-4E42-8E87-9E535AC624DF}"/>
            </c:ext>
          </c:extLst>
        </c:ser>
        <c:dLbls>
          <c:showLegendKey val="0"/>
          <c:showVal val="0"/>
          <c:showCatName val="0"/>
          <c:showSerName val="0"/>
          <c:showPercent val="0"/>
          <c:showBubbleSize val="0"/>
        </c:dLbls>
        <c:marker val="1"/>
        <c:smooth val="0"/>
        <c:axId val="1412433440"/>
        <c:axId val="1412432960"/>
      </c:lineChart>
      <c:catAx>
        <c:axId val="141243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432960"/>
        <c:crosses val="autoZero"/>
        <c:auto val="1"/>
        <c:lblAlgn val="ctr"/>
        <c:lblOffset val="100"/>
        <c:noMultiLvlLbl val="0"/>
      </c:catAx>
      <c:valAx>
        <c:axId val="1412432960"/>
        <c:scaling>
          <c:orientation val="minMax"/>
        </c:scaling>
        <c:delete val="0"/>
        <c:axPos val="l"/>
        <c:majorGridlines>
          <c:spPr>
            <a:ln w="9525" cap="flat" cmpd="sng" algn="ctr">
              <a:solidFill>
                <a:srgbClr val="AEACA3"/>
              </a:solidFill>
              <a:round/>
            </a:ln>
            <a:effectLst>
              <a:outerShdw blurRad="50800" dist="50800" dir="5400000" algn="ctr" rotWithShape="0">
                <a:srgbClr val="D9DACC"/>
              </a:outerShdw>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4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DA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[PROJECT-1_CoffeeSales.xlsx]Top5Customers!PivotTable1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Who are the Top 5 customers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9C8867"/>
          </a:solidFill>
          <a:ln>
            <a:solidFill>
              <a:schemeClr val="bg1"/>
            </a:solid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9C8867"/>
            </a:solidFill>
            <a:ln>
              <a:solidFill>
                <a:schemeClr val="bg1"/>
              </a:solidFill>
            </a:ln>
            <a:effectLst/>
          </c:spPr>
          <c:invertIfNegative val="0"/>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_("$"* #,##0_);_("$"* \(#,##0\);_("$"*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FAC-480B-841F-2F4C27902562}"/>
            </c:ext>
          </c:extLst>
        </c:ser>
        <c:dLbls>
          <c:showLegendKey val="0"/>
          <c:showVal val="0"/>
          <c:showCatName val="0"/>
          <c:showSerName val="0"/>
          <c:showPercent val="0"/>
          <c:showBubbleSize val="0"/>
        </c:dLbls>
        <c:gapWidth val="182"/>
        <c:axId val="1404600960"/>
        <c:axId val="1404601920"/>
      </c:barChart>
      <c:catAx>
        <c:axId val="140460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01920"/>
        <c:crosses val="autoZero"/>
        <c:auto val="1"/>
        <c:lblAlgn val="ctr"/>
        <c:lblOffset val="100"/>
        <c:noMultiLvlLbl val="0"/>
      </c:catAx>
      <c:valAx>
        <c:axId val="1404601920"/>
        <c:scaling>
          <c:orientation val="minMax"/>
        </c:scaling>
        <c:delete val="0"/>
        <c:axPos val="b"/>
        <c:majorGridlines>
          <c:spPr>
            <a:ln w="9525" cap="flat" cmpd="sng" algn="ctr">
              <a:solidFill>
                <a:srgbClr val="AEACA3"/>
              </a:solidFill>
              <a:round/>
            </a:ln>
            <a:effectLst/>
          </c:spPr>
        </c:majorGridlines>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00960"/>
        <c:crosses val="autoZero"/>
        <c:crossBetween val="between"/>
      </c:valAx>
      <c:spPr>
        <a:solidFill>
          <a:srgbClr val="D9DACC"/>
        </a:solidFill>
        <a:ln>
          <a:noFill/>
        </a:ln>
      </c:spPr>
    </c:plotArea>
    <c:plotVisOnly val="1"/>
    <c:dispBlanksAs val="gap"/>
    <c:showDLblsOverMax val="0"/>
    <c:extLst/>
  </c:chart>
  <c:spPr>
    <a:solidFill>
      <a:srgbClr val="D9DACC"/>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[PROJECT-1_CoffeeSales.xlsx]Country_BarChart!PivotTable1</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What is the Highest Country in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C8867"/>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Country_BarChart!$B$3</c:f>
              <c:strCache>
                <c:ptCount val="1"/>
                <c:pt idx="0">
                  <c:v>Total</c:v>
                </c:pt>
              </c:strCache>
            </c:strRef>
          </c:tx>
          <c:spPr>
            <a:solidFill>
              <a:srgbClr val="9C8867"/>
            </a:solidFill>
            <a:ln>
              <a:solidFill>
                <a:schemeClr val="bg1"/>
              </a:solidFill>
            </a:ln>
            <a:effectLst/>
          </c:spPr>
          <c:invertIfNegative val="0"/>
          <c:cat>
            <c:strRef>
              <c:f>Country_BarChart!$A$4:$A$7</c:f>
              <c:strCache>
                <c:ptCount val="3"/>
                <c:pt idx="0">
                  <c:v>United Kingdom</c:v>
                </c:pt>
                <c:pt idx="1">
                  <c:v>Ireland</c:v>
                </c:pt>
                <c:pt idx="2">
                  <c:v>United States</c:v>
                </c:pt>
              </c:strCache>
            </c:strRef>
          </c:cat>
          <c:val>
            <c:numRef>
              <c:f>Country_BarChart!$B$4:$B$7</c:f>
              <c:numCache>
                <c:formatCode>_("$"* #,##0_);_("$"* \(#,##0\);_("$"*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8D3-4307-B8C6-DDE031747D6B}"/>
            </c:ext>
          </c:extLst>
        </c:ser>
        <c:dLbls>
          <c:showLegendKey val="0"/>
          <c:showVal val="0"/>
          <c:showCatName val="0"/>
          <c:showSerName val="0"/>
          <c:showPercent val="0"/>
          <c:showBubbleSize val="0"/>
        </c:dLbls>
        <c:gapWidth val="182"/>
        <c:axId val="1460745296"/>
        <c:axId val="1460747696"/>
      </c:barChart>
      <c:catAx>
        <c:axId val="146074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747696"/>
        <c:crosses val="autoZero"/>
        <c:auto val="1"/>
        <c:lblAlgn val="ctr"/>
        <c:lblOffset val="100"/>
        <c:noMultiLvlLbl val="0"/>
      </c:catAx>
      <c:valAx>
        <c:axId val="1460747696"/>
        <c:scaling>
          <c:orientation val="minMax"/>
        </c:scaling>
        <c:delete val="0"/>
        <c:axPos val="b"/>
        <c:majorGridlines>
          <c:spPr>
            <a:ln w="9525" cap="flat" cmpd="sng" algn="ctr">
              <a:solidFill>
                <a:srgbClr val="AEACA3"/>
              </a:solidFill>
              <a:round/>
            </a:ln>
            <a:effectLst/>
          </c:spPr>
        </c:majorGridlines>
        <c:numFmt formatCode="##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74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DA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25120</xdr:colOff>
      <xdr:row>13</xdr:row>
      <xdr:rowOff>99671</xdr:rowOff>
    </xdr:from>
    <xdr:to>
      <xdr:col>12</xdr:col>
      <xdr:colOff>141955</xdr:colOff>
      <xdr:row>17</xdr:row>
      <xdr:rowOff>141714</xdr:rowOff>
    </xdr:to>
    <mc:AlternateContent xmlns:mc="http://schemas.openxmlformats.org/markup-compatibility/2006" xmlns:a14="http://schemas.microsoft.com/office/drawing/2010/main">
      <mc:Choice Requires="a14">
        <xdr:graphicFrame macro="">
          <xdr:nvGraphicFramePr>
            <xdr:cNvPr id="2" name="Size">
              <a:extLst>
                <a:ext uri="{FF2B5EF4-FFF2-40B4-BE49-F238E27FC236}">
                  <a16:creationId xmlns:a16="http://schemas.microsoft.com/office/drawing/2014/main" id="{5D4455E4-EBDE-4823-BF64-1EDCAD4B31A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2351" y="2268440"/>
              <a:ext cx="6886912" cy="67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217714</xdr:colOff>
      <xdr:row>14</xdr:row>
      <xdr:rowOff>0</xdr:rowOff>
    </xdr:from>
    <xdr:to>
      <xdr:col>18</xdr:col>
      <xdr:colOff>527538</xdr:colOff>
      <xdr:row>17</xdr:row>
      <xdr:rowOff>139519</xdr:rowOff>
    </xdr:to>
    <mc:AlternateContent xmlns:mc="http://schemas.openxmlformats.org/markup-compatibility/2006" xmlns:a14="http://schemas.microsoft.com/office/drawing/2010/main">
      <mc:Choice Requires="a14">
        <xdr:graphicFrame macro="">
          <xdr:nvGraphicFramePr>
            <xdr:cNvPr id="3" name="Roast Type Name">
              <a:extLst>
                <a:ext uri="{FF2B5EF4-FFF2-40B4-BE49-F238E27FC236}">
                  <a16:creationId xmlns:a16="http://schemas.microsoft.com/office/drawing/2014/main" id="{53B745D0-B43D-4480-BA2C-DCC67F45D0B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7105022" y="2271346"/>
              <a:ext cx="4002593" cy="667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609600</xdr:colOff>
      <xdr:row>13</xdr:row>
      <xdr:rowOff>97971</xdr:rowOff>
    </xdr:from>
    <xdr:to>
      <xdr:col>24</xdr:col>
      <xdr:colOff>1281</xdr:colOff>
      <xdr:row>17</xdr:row>
      <xdr:rowOff>139520</xdr:rowOff>
    </xdr:to>
    <mc:AlternateContent xmlns:mc="http://schemas.openxmlformats.org/markup-compatibility/2006" xmlns:a14="http://schemas.microsoft.com/office/drawing/2010/main">
      <mc:Choice Requires="a14">
        <xdr:graphicFrame macro="">
          <xdr:nvGraphicFramePr>
            <xdr:cNvPr id="4" name="Loyality Card">
              <a:extLst>
                <a:ext uri="{FF2B5EF4-FFF2-40B4-BE49-F238E27FC236}">
                  <a16:creationId xmlns:a16="http://schemas.microsoft.com/office/drawing/2014/main" id="{BA491B1E-B040-495F-B4DE-8772C5B4D9C8}"/>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1189677" y="2266740"/>
              <a:ext cx="3084450" cy="671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1</xdr:row>
      <xdr:rowOff>15240</xdr:rowOff>
    </xdr:from>
    <xdr:to>
      <xdr:col>23</xdr:col>
      <xdr:colOff>609600</xdr:colOff>
      <xdr:row>4</xdr:row>
      <xdr:rowOff>15240</xdr:rowOff>
    </xdr:to>
    <xdr:sp macro="" textlink="">
      <xdr:nvSpPr>
        <xdr:cNvPr id="8" name="Rectangle 7">
          <a:extLst>
            <a:ext uri="{FF2B5EF4-FFF2-40B4-BE49-F238E27FC236}">
              <a16:creationId xmlns:a16="http://schemas.microsoft.com/office/drawing/2014/main" id="{E7B6B9E8-25DA-5799-3284-AB0FB5E33180}"/>
            </a:ext>
          </a:extLst>
        </xdr:cNvPr>
        <xdr:cNvSpPr/>
      </xdr:nvSpPr>
      <xdr:spPr>
        <a:xfrm>
          <a:off x="137704" y="75111"/>
          <a:ext cx="14005560" cy="547008"/>
        </a:xfrm>
        <a:prstGeom prst="rect">
          <a:avLst/>
        </a:prstGeom>
        <a:solidFill>
          <a:srgbClr val="9C886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COFFEE SALES</a:t>
          </a:r>
          <a:r>
            <a:rPr lang="en-US" sz="3600" b="1" baseline="0"/>
            <a:t> DASHBOARD</a:t>
          </a:r>
          <a:endParaRPr lang="en-US" sz="3600" b="1"/>
        </a:p>
      </xdr:txBody>
    </xdr:sp>
    <xdr:clientData/>
  </xdr:twoCellAnchor>
  <xdr:twoCellAnchor>
    <xdr:from>
      <xdr:col>1</xdr:col>
      <xdr:colOff>30891</xdr:colOff>
      <xdr:row>18</xdr:row>
      <xdr:rowOff>42929</xdr:rowOff>
    </xdr:from>
    <xdr:to>
      <xdr:col>14</xdr:col>
      <xdr:colOff>397097</xdr:colOff>
      <xdr:row>35</xdr:row>
      <xdr:rowOff>172469</xdr:rowOff>
    </xdr:to>
    <xdr:graphicFrame macro="">
      <xdr:nvGraphicFramePr>
        <xdr:cNvPr id="9" name="Chart 8">
          <a:extLst>
            <a:ext uri="{FF2B5EF4-FFF2-40B4-BE49-F238E27FC236}">
              <a16:creationId xmlns:a16="http://schemas.microsoft.com/office/drawing/2014/main" id="{E63517DD-CB32-4EEE-B45F-D15DF74BA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2423</xdr:colOff>
      <xdr:row>4</xdr:row>
      <xdr:rowOff>78289</xdr:rowOff>
    </xdr:from>
    <xdr:to>
      <xdr:col>24</xdr:col>
      <xdr:colOff>1281</xdr:colOff>
      <xdr:row>13</xdr:row>
      <xdr:rowOff>36534</xdr:rowOff>
    </xdr:to>
    <mc:AlternateContent xmlns:mc="http://schemas.openxmlformats.org/markup-compatibility/2006" xmlns:tsle="http://schemas.microsoft.com/office/drawing/2012/timeslicer">
      <mc:Choice Requires="tsle">
        <xdr:graphicFrame macro="">
          <xdr:nvGraphicFramePr>
            <xdr:cNvPr id="12" name="Order Date">
              <a:extLst>
                <a:ext uri="{FF2B5EF4-FFF2-40B4-BE49-F238E27FC236}">
                  <a16:creationId xmlns:a16="http://schemas.microsoft.com/office/drawing/2014/main" id="{C4A8656F-CFB3-43B1-9662-A96CFEF3D50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2464" y="768489"/>
              <a:ext cx="14151663" cy="140054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479779</xdr:colOff>
      <xdr:row>25</xdr:row>
      <xdr:rowOff>150255</xdr:rowOff>
    </xdr:from>
    <xdr:to>
      <xdr:col>24</xdr:col>
      <xdr:colOff>1</xdr:colOff>
      <xdr:row>36</xdr:row>
      <xdr:rowOff>1</xdr:rowOff>
    </xdr:to>
    <xdr:graphicFrame macro="">
      <xdr:nvGraphicFramePr>
        <xdr:cNvPr id="14" name="Chart 13">
          <a:extLst>
            <a:ext uri="{FF2B5EF4-FFF2-40B4-BE49-F238E27FC236}">
              <a16:creationId xmlns:a16="http://schemas.microsoft.com/office/drawing/2014/main" id="{C6713F40-0766-4DE7-B115-92D87391A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479778</xdr:colOff>
      <xdr:row>18</xdr:row>
      <xdr:rowOff>46517</xdr:rowOff>
    </xdr:from>
    <xdr:to>
      <xdr:col>23</xdr:col>
      <xdr:colOff>608793</xdr:colOff>
      <xdr:row>25</xdr:row>
      <xdr:rowOff>75127</xdr:rowOff>
    </xdr:to>
    <xdr:graphicFrame macro="">
      <xdr:nvGraphicFramePr>
        <xdr:cNvPr id="15" name="Chart 14">
          <a:extLst>
            <a:ext uri="{FF2B5EF4-FFF2-40B4-BE49-F238E27FC236}">
              <a16:creationId xmlns:a16="http://schemas.microsoft.com/office/drawing/2014/main" id="{C4A43AC9-AB0D-4D60-BC28-99FE98B8D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BLO EDFORD" refreshedDate="45938.702412384257" createdVersion="8" refreshedVersion="8" minRefreshableVersion="3" recordCount="1000" xr:uid="{C9CD0DE9-FAB0-4BBD-899A-92166E4182AD}">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4">
        <s v="Robusta"/>
        <s v="Excesl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95144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2DED1A-C772-4C21-B292-E85B3D05595B}"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0">
  <location ref="A3:G57" firstHeaderRow="1" firstDataRow="2" firstDataCol="2"/>
  <pivotFields count="18">
    <pivotField compact="0" showAll="0" insertBlankRow="1"/>
    <pivotField compact="0" numFmtId="165" showAll="0" insertBlankRow="1">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showAll="0" insertBlankRow="1"/>
    <pivotField compact="0" numFmtId="166" showAll="0" insertBlankRow="1">
      <items count="5">
        <item x="3"/>
        <item x="1"/>
        <item x="0"/>
        <item x="2"/>
        <item t="default"/>
      </items>
    </pivotField>
    <pivotField compact="0" numFmtId="44" showAll="0" insertBlankRow="1"/>
    <pivotField dataField="1" compact="0" numFmtId="44" showAll="0" insertBlankRow="1"/>
    <pivotField axis="axisCol" compact="0" showAll="0" insertBlankRow="1">
      <items count="5">
        <item sd="0" x="2"/>
        <item sd="0" x="1"/>
        <item sd="0" x="3"/>
        <item sd="0" x="0"/>
        <item t="default"/>
      </items>
    </pivotField>
    <pivotField compact="0" showAll="0" insertBlankRow="1">
      <items count="4">
        <item x="2"/>
        <item x="1"/>
        <item x="0"/>
        <item t="default"/>
      </items>
    </pivotField>
    <pivotField compact="0" showAll="0" insertBlankRow="1">
      <items count="3">
        <item x="1"/>
        <item x="0"/>
        <item t="default"/>
      </items>
    </pivotField>
    <pivotField axis="axisRow" compact="0" showAll="0" insertBlankRow="1">
      <items count="15">
        <item x="0"/>
        <item x="1"/>
        <item x="2"/>
        <item x="3"/>
        <item x="4"/>
        <item x="5"/>
        <item x="6"/>
        <item x="7"/>
        <item x="8"/>
        <item x="9"/>
        <item x="10"/>
        <item x="11"/>
        <item x="12"/>
        <item x="13"/>
        <item t="default"/>
      </items>
    </pivotField>
    <pivotField axis="axisRow" compact="0" showAll="0" insertBlankRow="1">
      <items count="7">
        <item x="0"/>
        <item x="1"/>
        <item x="2"/>
        <item x="3"/>
        <item x="4"/>
        <item x="5"/>
        <item t="default"/>
      </items>
    </pivotField>
  </pivotFields>
  <rowFields count="2">
    <field x="17"/>
    <field x="16"/>
  </rowFields>
  <rowItems count="53">
    <i>
      <x v="1"/>
    </i>
    <i r="1">
      <x v="1"/>
    </i>
    <i r="1">
      <x v="2"/>
    </i>
    <i r="1">
      <x v="3"/>
    </i>
    <i r="1">
      <x v="4"/>
    </i>
    <i r="1">
      <x v="5"/>
    </i>
    <i r="1">
      <x v="6"/>
    </i>
    <i r="1">
      <x v="7"/>
    </i>
    <i r="1">
      <x v="8"/>
    </i>
    <i r="1">
      <x v="9"/>
    </i>
    <i r="1">
      <x v="10"/>
    </i>
    <i r="1">
      <x v="11"/>
    </i>
    <i r="1">
      <x v="12"/>
    </i>
    <i t="blank">
      <x v="1"/>
    </i>
    <i>
      <x v="2"/>
    </i>
    <i r="1">
      <x v="1"/>
    </i>
    <i r="1">
      <x v="2"/>
    </i>
    <i r="1">
      <x v="3"/>
    </i>
    <i r="1">
      <x v="4"/>
    </i>
    <i r="1">
      <x v="5"/>
    </i>
    <i r="1">
      <x v="6"/>
    </i>
    <i r="1">
      <x v="7"/>
    </i>
    <i r="1">
      <x v="8"/>
    </i>
    <i r="1">
      <x v="9"/>
    </i>
    <i r="1">
      <x v="10"/>
    </i>
    <i r="1">
      <x v="11"/>
    </i>
    <i r="1">
      <x v="12"/>
    </i>
    <i t="blank">
      <x v="2"/>
    </i>
    <i>
      <x v="3"/>
    </i>
    <i r="1">
      <x v="1"/>
    </i>
    <i r="1">
      <x v="2"/>
    </i>
    <i r="1">
      <x v="3"/>
    </i>
    <i r="1">
      <x v="4"/>
    </i>
    <i r="1">
      <x v="5"/>
    </i>
    <i r="1">
      <x v="6"/>
    </i>
    <i r="1">
      <x v="7"/>
    </i>
    <i r="1">
      <x v="8"/>
    </i>
    <i r="1">
      <x v="9"/>
    </i>
    <i r="1">
      <x v="10"/>
    </i>
    <i r="1">
      <x v="11"/>
    </i>
    <i r="1">
      <x v="12"/>
    </i>
    <i t="blank">
      <x v="3"/>
    </i>
    <i>
      <x v="4"/>
    </i>
    <i r="1">
      <x v="1"/>
    </i>
    <i r="1">
      <x v="2"/>
    </i>
    <i r="1">
      <x v="3"/>
    </i>
    <i r="1">
      <x v="4"/>
    </i>
    <i r="1">
      <x v="5"/>
    </i>
    <i r="1">
      <x v="6"/>
    </i>
    <i r="1">
      <x v="7"/>
    </i>
    <i r="1">
      <x v="8"/>
    </i>
    <i t="blank">
      <x v="4"/>
    </i>
    <i t="grand">
      <x/>
    </i>
  </rowItems>
  <colFields count="1">
    <field x="13"/>
  </colFields>
  <colItems count="5">
    <i>
      <x/>
    </i>
    <i>
      <x v="1"/>
    </i>
    <i>
      <x v="2"/>
    </i>
    <i>
      <x v="3"/>
    </i>
    <i t="grand">
      <x/>
    </i>
  </colItems>
  <dataFields count="1">
    <dataField name="Sum of Sales" fld="12" baseField="0" baseItem="0" numFmtId="42"/>
  </dataFields>
  <chartFormats count="4">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A9C520-4CD3-418D-ADBB-E6DD528162BC}"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6">
  <location ref="A3:B7" firstHeaderRow="1" firstDataRow="1" firstDataCol="1"/>
  <pivotFields count="18">
    <pivotField compact="0" showAll="0" insertBlankRow="1"/>
    <pivotField compact="0" numFmtId="165" showAll="0" insertBlankRow="1">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insertBlankRow="1"/>
    <pivotField compact="0" showAll="0" insertBlankRow="1"/>
    <pivotField compact="0" showAll="0" insertBlankRow="1"/>
    <pivotField compact="0" showAll="0" insertBlankRow="1"/>
    <pivotField compact="0" showAll="0" insertBlankRow="1"/>
    <pivotField axis="axisRow" compact="0" showAll="0" insertBlankRow="1" sortType="ascending">
      <items count="4">
        <item x="1"/>
        <item x="2"/>
        <item x="0"/>
        <item t="default"/>
      </items>
      <autoSortScope>
        <pivotArea dataOnly="0" outline="0" fieldPosition="0">
          <references count="1">
            <reference field="4294967294" count="1" selected="0">
              <x v="0"/>
            </reference>
          </references>
        </pivotArea>
      </autoSortScope>
    </pivotField>
    <pivotField compact="0" showAll="0" insertBlankRow="1"/>
    <pivotField compact="0" showAll="0" insertBlankRow="1"/>
    <pivotField compact="0" numFmtId="166" showAll="0" insertBlankRow="1">
      <items count="5">
        <item x="3"/>
        <item x="1"/>
        <item x="0"/>
        <item x="2"/>
        <item t="default"/>
      </items>
    </pivotField>
    <pivotField compact="0" numFmtId="44" showAll="0" insertBlankRow="1"/>
    <pivotField dataField="1" compact="0" numFmtId="44" showAll="0" insertBlankRow="1"/>
    <pivotField compact="0" showAll="0" insertBlankRow="1">
      <items count="5">
        <item sd="0" x="2"/>
        <item sd="0" x="1"/>
        <item sd="0" x="3"/>
        <item sd="0" x="0"/>
        <item t="default"/>
      </items>
    </pivotField>
    <pivotField compact="0" showAll="0" insertBlankRow="1">
      <items count="4">
        <item x="2"/>
        <item x="1"/>
        <item x="0"/>
        <item t="default"/>
      </items>
    </pivotField>
    <pivotField compact="0" showAll="0" insertBlankRow="1">
      <items count="3">
        <item x="1"/>
        <item x="0"/>
        <item t="default"/>
      </items>
    </pivotField>
    <pivotField compact="0" showAll="0" insertBlankRow="1">
      <items count="15">
        <item x="0"/>
        <item x="1"/>
        <item x="2"/>
        <item x="3"/>
        <item x="4"/>
        <item x="5"/>
        <item x="6"/>
        <item x="7"/>
        <item x="8"/>
        <item x="9"/>
        <item x="10"/>
        <item x="11"/>
        <item x="12"/>
        <item x="13"/>
        <item t="default"/>
      </items>
    </pivotField>
    <pivotField compact="0" showAll="0" insertBlankRow="1">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42"/>
  </dataFields>
  <chartFormats count="2">
    <chartFormat chart="0" format="4"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8C014-6E34-47B3-8AB8-5F0B6DF3B881}"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30">
  <location ref="A3:B9" firstHeaderRow="1" firstDataRow="1" firstDataCol="1"/>
  <pivotFields count="18">
    <pivotField compact="0" showAll="0" insertBlankRow="1"/>
    <pivotField compact="0" numFmtId="165" showAll="0" insertBlankRow="1">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showAll="0" insertBlankRow="1"/>
    <pivotField compact="0" showAll="0" insertBlankRow="1"/>
    <pivotField compact="0" showAll="0" insertBlankRow="1"/>
    <pivotField axis="axisRow" compact="0" showAll="0" insertBlankRow="1"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showAll="0" insertBlankRow="1"/>
    <pivotField compact="0" showAll="0" insertBlankRow="1">
      <items count="4">
        <item x="1"/>
        <item x="2"/>
        <item x="0"/>
        <item t="default"/>
      </items>
    </pivotField>
    <pivotField compact="0" showAll="0" insertBlankRow="1"/>
    <pivotField compact="0" showAll="0" insertBlankRow="1"/>
    <pivotField compact="0" numFmtId="166" showAll="0" insertBlankRow="1">
      <items count="5">
        <item x="3"/>
        <item x="1"/>
        <item x="0"/>
        <item x="2"/>
        <item t="default"/>
      </items>
    </pivotField>
    <pivotField compact="0" numFmtId="44" showAll="0" insertBlankRow="1"/>
    <pivotField dataField="1" compact="0" numFmtId="44" showAll="0" insertBlankRow="1"/>
    <pivotField compact="0" showAll="0" insertBlankRow="1">
      <items count="5">
        <item sd="0" x="2"/>
        <item sd="0" x="1"/>
        <item sd="0" x="3"/>
        <item sd="0" x="0"/>
        <item t="default"/>
      </items>
    </pivotField>
    <pivotField compact="0" showAll="0" insertBlankRow="1">
      <items count="4">
        <item x="2"/>
        <item x="1"/>
        <item x="0"/>
        <item t="default"/>
      </items>
    </pivotField>
    <pivotField compact="0" showAll="0" insertBlankRow="1">
      <items count="3">
        <item x="1"/>
        <item x="0"/>
        <item t="default"/>
      </items>
    </pivotField>
    <pivotField compact="0" showAll="0" insertBlankRow="1">
      <items count="15">
        <item x="0"/>
        <item x="1"/>
        <item x="2"/>
        <item x="3"/>
        <item x="4"/>
        <item x="5"/>
        <item x="6"/>
        <item x="7"/>
        <item x="8"/>
        <item x="9"/>
        <item x="10"/>
        <item x="11"/>
        <item x="12"/>
        <item x="13"/>
        <item t="default"/>
      </items>
    </pivotField>
    <pivotField compact="0" showAll="0" insertBlankRow="1">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42"/>
  </dataFields>
  <chartFormats count="6">
    <chartFormat chart="0"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1"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0BFC329-975D-4091-9062-A63A56E73EA7}" sourceName="Size">
  <pivotTables>
    <pivotTable tabId="18" name="PivotTable1"/>
    <pivotTable tabId="19" name="PivotTable1"/>
    <pivotTable tabId="21" name="PivotTable1"/>
  </pivotTables>
  <data>
    <tabular pivotCacheId="11951442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79AD70B-A70E-4692-BFFE-13DAC91EA369}" sourceName="Roast Type Name">
  <pivotTables>
    <pivotTable tabId="18" name="PivotTable1"/>
    <pivotTable tabId="19" name="PivotTable1"/>
    <pivotTable tabId="21" name="PivotTable1"/>
  </pivotTables>
  <data>
    <tabular pivotCacheId="11951442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EF58B060-CA28-44D9-92B4-FA7080EF172C}" sourceName="Loyality Card">
  <pivotTables>
    <pivotTable tabId="18" name="PivotTable1"/>
    <pivotTable tabId="19" name="PivotTable1"/>
    <pivotTable tabId="21" name="PivotTable1"/>
  </pivotTables>
  <data>
    <tabular pivotCacheId="11951442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D7888F0-956C-46F3-98F0-F940C8275E21}" cache="Slicer_Size" caption="Size" columnCount="4" style="Slicer Style 1" rowHeight="274320"/>
  <slicer name="Roast Type Name" xr10:uid="{D42E383B-64F4-4A54-AB2E-7317BE4AF41A}" cache="Slicer_Roast_Type_Name" caption="Roast Type Name" columnCount="3" style="Slicer Style 1" rowHeight="234950"/>
  <slicer name="Loyality Card" xr10:uid="{284B57E3-7E19-4781-A4DB-016CF4A0C962}" cache="Slicer_Loyality_Card" caption="Loyality Card"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0A643-9543-4F1B-9316-1BE306FF99B4}" name="orders" displayName="orders" ref="A1:P1001" totalsRowShown="0" headerRowDxfId="11">
  <autoFilter ref="A1:P1001" xr:uid="{4780A643-9543-4F1B-9316-1BE306FF99B4}"/>
  <tableColumns count="16">
    <tableColumn id="1" xr3:uid="{9BCEE43C-C720-406D-93AB-55E8706B7993}" name="Order ID" dataDxfId="10"/>
    <tableColumn id="2" xr3:uid="{12577877-BFD2-4852-8A2E-45199DA8A182}" name="Order Date" dataDxfId="9"/>
    <tableColumn id="3" xr3:uid="{57DB44FC-ECA5-4EE0-8095-B61E2512F77D}" name="Customer ID" dataDxfId="8"/>
    <tableColumn id="4" xr3:uid="{F1BCD6AC-7447-4166-B99E-AE63FD5B8C00}" name="Product ID"/>
    <tableColumn id="5" xr3:uid="{F4B23AB1-E4BF-4BBF-9CF2-5E0FE987CDA2}" name="Quantity" dataDxfId="7"/>
    <tableColumn id="6" xr3:uid="{F603F3B9-8455-481F-B060-EAD0C3FADC09}" name="Customer Name" dataDxfId="6">
      <calculatedColumnFormula>_xlfn.XLOOKUP(C2,customers!$A$1:$A$1001,customers!$B$1:$B$1001,,0,1)</calculatedColumnFormula>
    </tableColumn>
    <tableColumn id="7" xr3:uid="{E502FE78-C012-4194-9737-247946C7B71D}" name="Email" dataDxfId="5">
      <calculatedColumnFormula>IF((_xlfn.XLOOKUP(C2,customers!$A$2:$A$1001,customers!$C$2:$C$1001,,,)=0),"",(_xlfn.XLOOKUP(C2,customers!$A$2:$A$1001,customers!$C$2:$C$1001,,0,)))</calculatedColumnFormula>
    </tableColumn>
    <tableColumn id="8" xr3:uid="{AF1BF2BA-E777-4FE2-BA86-F0DA20BDA980}" name="Country" dataDxfId="4">
      <calculatedColumnFormula>_xlfn.XLOOKUP(C2,customers!$A$2:$A$1001,customers!$G$2:$G$1001,,0,)</calculatedColumnFormula>
    </tableColumn>
    <tableColumn id="9" xr3:uid="{19C5A3C0-048D-40DB-A64E-ADE2E7C2657E}" name="Coffee Type">
      <calculatedColumnFormula>INDEX(products!$A$1:$G$49,MATCH(orders!$D2,products!$A$1:$A$49,0),MATCH(orders!I$1,products!$A$1:$G$1,0))</calculatedColumnFormula>
    </tableColumn>
    <tableColumn id="10" xr3:uid="{5529A17A-9C32-45E5-8DB7-714E67C1D0FE}" name="Roast Type">
      <calculatedColumnFormula>INDEX(products!$A$1:$G$49,MATCH(orders!$D2,products!$A$1:$A$49,0),MATCH(orders!J$1,products!$A$1:$G$1,0))</calculatedColumnFormula>
    </tableColumn>
    <tableColumn id="11" xr3:uid="{943B0F8D-6305-461F-8793-5B415A0191C7}" name="Size" dataDxfId="3">
      <calculatedColumnFormula>INDEX(products!$A$1:$G$49,MATCH(orders!$D2,products!$A$1:$A$49,0),MATCH(orders!K$1,products!$A$1:$G$1,0))</calculatedColumnFormula>
    </tableColumn>
    <tableColumn id="12" xr3:uid="{A43CF3CD-0E38-4C9C-B189-C59BB17249F7}" name="Unit Price" dataDxfId="2" dataCellStyle="Currency">
      <calculatedColumnFormula>INDEX(products!$A$1:$G$49,MATCH(orders!$D2,products!$A$1:$A$49,0),MATCH(orders!L$1,products!$A$1:$G$1,0))</calculatedColumnFormula>
    </tableColumn>
    <tableColumn id="13" xr3:uid="{2F3BFE86-770A-422D-A201-57AC4E70B0D2}" name="Sales" dataDxfId="1" dataCellStyle="Currency">
      <calculatedColumnFormula>L2*E2</calculatedColumnFormula>
    </tableColumn>
    <tableColumn id="14" xr3:uid="{DF6AAF36-91C1-4669-B4DC-CA1E45EC304D}" name="Coffee Type name ">
      <calculatedColumnFormula array="1">_xlfn.IFS(I2="rob","Robusta",I2="exc","Excesla",I2="ara","Arabica",I2="lib","Liberica")</calculatedColumnFormula>
    </tableColumn>
    <tableColumn id="15" xr3:uid="{967AD1E7-9455-4107-BB79-DDD5B31684FB}" name="Roast Type Name">
      <calculatedColumnFormula array="1">_xlfn.IFS(J2="m","Medium",J2="l","Light",J2="d","Dark")</calculatedColumnFormula>
    </tableColumn>
    <tableColumn id="16" xr3:uid="{24BA124C-D373-4029-8CA5-48D2A1E13A19}" name="Loyality Card" dataDxfId="0">
      <calculatedColumnFormula>_xlfn.XLOOKUP(orders[[#This Row],[Customer ID]],customers!$A$2:$A$1001,customers!$I$2:$I$1001,,0)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8D36F3B-D4FD-425B-9DA6-0B0E26486DC8}" sourceName="Order Date">
  <pivotTables>
    <pivotTable tabId="18" name="PivotTable1"/>
    <pivotTable tabId="19" name="PivotTable1"/>
    <pivotTable tabId="21" name="PivotTable1"/>
  </pivotTables>
  <state minimalRefreshVersion="6" lastRefreshVersion="6" pivotCacheId="11951442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6E951FE-1646-4C68-9767-53483D5C5CCC}" cache="NativeTimeline_Order_Date" caption="Order Date" level="2" selectionLevel="2" scrollPosition="2019-03-13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B0B7-D378-4551-B14F-03C2BCBB4A8D}">
  <dimension ref="AB1:AB30"/>
  <sheetViews>
    <sheetView showGridLines="0" showRowColHeaders="0" tabSelected="1" zoomScale="102" zoomScaleNormal="100" workbookViewId="0">
      <selection activeCell="AO78" sqref="AO78"/>
    </sheetView>
  </sheetViews>
  <sheetFormatPr defaultRowHeight="14.4" x14ac:dyDescent="0.3"/>
  <cols>
    <col min="1" max="1" width="1.77734375" customWidth="1"/>
  </cols>
  <sheetData>
    <row r="1" ht="4.95" customHeight="1" x14ac:dyDescent="0.3"/>
    <row r="14" ht="7.8" customHeight="1" x14ac:dyDescent="0.3"/>
    <row r="30" spans="28:28" x14ac:dyDescent="0.3">
      <c r="AB30" t="s">
        <v>6222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C47F-CF00-44A6-82C4-44F483E1F37B}">
  <dimension ref="A1:B15"/>
  <sheetViews>
    <sheetView workbookViewId="0">
      <selection sqref="A1:B15"/>
    </sheetView>
  </sheetViews>
  <sheetFormatPr defaultRowHeight="14.4" x14ac:dyDescent="0.3"/>
  <cols>
    <col min="1" max="1" width="21.33203125" bestFit="1" customWidth="1"/>
    <col min="2" max="2" width="9.109375" customWidth="1"/>
  </cols>
  <sheetData>
    <row r="1" spans="1:2" x14ac:dyDescent="0.3">
      <c r="A1" t="s">
        <v>6224</v>
      </c>
      <c r="B1" s="13">
        <v>45.134254999999996</v>
      </c>
    </row>
    <row r="2" spans="1:2" x14ac:dyDescent="0.3">
      <c r="A2" t="s">
        <v>6225</v>
      </c>
      <c r="B2" s="13">
        <v>1.335127991288886</v>
      </c>
    </row>
    <row r="3" spans="1:2" x14ac:dyDescent="0.3">
      <c r="A3" t="s">
        <v>6226</v>
      </c>
      <c r="B3" s="13">
        <v>29.784999999999997</v>
      </c>
    </row>
    <row r="4" spans="1:2" x14ac:dyDescent="0.3">
      <c r="A4" t="s">
        <v>6227</v>
      </c>
      <c r="B4" s="13">
        <v>17.91</v>
      </c>
    </row>
    <row r="5" spans="1:2" x14ac:dyDescent="0.3">
      <c r="A5" t="s">
        <v>6228</v>
      </c>
      <c r="B5" s="13">
        <v>42.220454203183266</v>
      </c>
    </row>
    <row r="6" spans="1:2" x14ac:dyDescent="0.3">
      <c r="A6" t="s">
        <v>6229</v>
      </c>
      <c r="B6" s="13">
        <v>1782.5667531230954</v>
      </c>
    </row>
    <row r="7" spans="1:2" x14ac:dyDescent="0.3">
      <c r="A7" t="s">
        <v>6230</v>
      </c>
      <c r="B7" s="13">
        <v>2.399829546697791</v>
      </c>
    </row>
    <row r="8" spans="1:2" x14ac:dyDescent="0.3">
      <c r="A8" t="s">
        <v>6231</v>
      </c>
      <c r="B8" s="13">
        <v>1.6465828027478817</v>
      </c>
    </row>
    <row r="9" spans="1:2" x14ac:dyDescent="0.3">
      <c r="A9" t="s">
        <v>6232</v>
      </c>
      <c r="B9" s="13">
        <v>216.04499999999999</v>
      </c>
    </row>
    <row r="10" spans="1:2" x14ac:dyDescent="0.3">
      <c r="A10" t="s">
        <v>6233</v>
      </c>
      <c r="B10" s="13">
        <v>2.6849999999999996</v>
      </c>
    </row>
    <row r="11" spans="1:2" x14ac:dyDescent="0.3">
      <c r="A11" t="s">
        <v>6234</v>
      </c>
      <c r="B11" s="13">
        <v>218.73</v>
      </c>
    </row>
    <row r="12" spans="1:2" x14ac:dyDescent="0.3">
      <c r="A12" t="s">
        <v>6235</v>
      </c>
      <c r="B12" s="13">
        <v>45134.254999999997</v>
      </c>
    </row>
    <row r="13" spans="1:2" x14ac:dyDescent="0.3">
      <c r="A13" t="s">
        <v>6236</v>
      </c>
      <c r="B13" s="13">
        <v>1000</v>
      </c>
    </row>
    <row r="14" spans="1:2" x14ac:dyDescent="0.3">
      <c r="A14" t="s">
        <v>6237</v>
      </c>
      <c r="B14" s="13">
        <v>218.73</v>
      </c>
    </row>
    <row r="15" spans="1:2" ht="15" thickBot="1" x14ac:dyDescent="0.35">
      <c r="A15" s="14" t="s">
        <v>6238</v>
      </c>
      <c r="B15" s="15">
        <v>2.6199770132260176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1909-B179-4366-AA80-F650660DEB86}">
  <dimension ref="A3:L57"/>
  <sheetViews>
    <sheetView topLeftCell="D1" workbookViewId="0">
      <selection activeCell="T28" sqref="T28"/>
    </sheetView>
  </sheetViews>
  <sheetFormatPr defaultRowHeight="14.4" x14ac:dyDescent="0.3"/>
  <cols>
    <col min="1" max="1" width="12.5546875" bestFit="1" customWidth="1"/>
    <col min="2" max="2" width="20.88671875" bestFit="1" customWidth="1"/>
    <col min="3" max="6" width="19.109375" bestFit="1" customWidth="1"/>
    <col min="7" max="7" width="10.77734375" bestFit="1" customWidth="1"/>
    <col min="8" max="8" width="11.109375" customWidth="1"/>
  </cols>
  <sheetData>
    <row r="3" spans="1:12" x14ac:dyDescent="0.3">
      <c r="A3" s="11" t="s">
        <v>6198</v>
      </c>
      <c r="C3" s="11" t="s">
        <v>6196</v>
      </c>
    </row>
    <row r="4" spans="1:12" x14ac:dyDescent="0.3">
      <c r="A4" s="11" t="s">
        <v>6220</v>
      </c>
      <c r="B4" s="11" t="s">
        <v>6221</v>
      </c>
      <c r="C4" t="s">
        <v>6199</v>
      </c>
      <c r="D4" t="s">
        <v>6200</v>
      </c>
      <c r="E4" t="s">
        <v>6201</v>
      </c>
      <c r="F4" t="s">
        <v>6202</v>
      </c>
      <c r="G4" t="s">
        <v>6203</v>
      </c>
    </row>
    <row r="5" spans="1:12" x14ac:dyDescent="0.3">
      <c r="A5" t="s">
        <v>6204</v>
      </c>
      <c r="C5" s="12">
        <v>2926.63</v>
      </c>
      <c r="D5" s="12">
        <v>3481.4599999999996</v>
      </c>
      <c r="E5" s="12">
        <v>3378.0049999999997</v>
      </c>
      <c r="F5" s="12">
        <v>2401.0700000000002</v>
      </c>
      <c r="G5" s="12">
        <v>12187.164999999999</v>
      </c>
    </row>
    <row r="6" spans="1:12" x14ac:dyDescent="0.3">
      <c r="B6" t="s">
        <v>6208</v>
      </c>
      <c r="C6" s="12">
        <v>186.85499999999999</v>
      </c>
      <c r="D6" s="12">
        <v>305.97000000000003</v>
      </c>
      <c r="E6" s="12">
        <v>213.15999999999997</v>
      </c>
      <c r="F6" s="12">
        <v>123</v>
      </c>
      <c r="G6" s="12">
        <v>828.98500000000001</v>
      </c>
    </row>
    <row r="7" spans="1:12" x14ac:dyDescent="0.3">
      <c r="B7" t="s">
        <v>6209</v>
      </c>
      <c r="C7" s="12">
        <v>251.96499999999997</v>
      </c>
      <c r="D7" s="12">
        <v>129.46</v>
      </c>
      <c r="E7" s="12">
        <v>434.03999999999996</v>
      </c>
      <c r="F7" s="12">
        <v>171.93999999999997</v>
      </c>
      <c r="G7" s="12">
        <v>987.40499999999986</v>
      </c>
    </row>
    <row r="8" spans="1:12" x14ac:dyDescent="0.3">
      <c r="B8" t="s">
        <v>6210</v>
      </c>
      <c r="C8" s="12">
        <v>224.94499999999999</v>
      </c>
      <c r="D8" s="12">
        <v>349.12</v>
      </c>
      <c r="E8" s="12">
        <v>321.04000000000002</v>
      </c>
      <c r="F8" s="12">
        <v>126.035</v>
      </c>
      <c r="G8" s="12">
        <v>1021.14</v>
      </c>
    </row>
    <row r="9" spans="1:12" x14ac:dyDescent="0.3">
      <c r="B9" t="s">
        <v>6211</v>
      </c>
      <c r="C9" s="12">
        <v>307.12</v>
      </c>
      <c r="D9" s="12">
        <v>681.07499999999993</v>
      </c>
      <c r="E9" s="12">
        <v>533.70499999999993</v>
      </c>
      <c r="F9" s="12">
        <v>158.85</v>
      </c>
      <c r="G9" s="12">
        <v>1680.7499999999998</v>
      </c>
    </row>
    <row r="10" spans="1:12" x14ac:dyDescent="0.3">
      <c r="B10" t="s">
        <v>6212</v>
      </c>
      <c r="C10" s="12">
        <v>53.664999999999992</v>
      </c>
      <c r="D10" s="12">
        <v>83.025000000000006</v>
      </c>
      <c r="E10" s="12">
        <v>193.83499999999998</v>
      </c>
      <c r="F10" s="12">
        <v>68.039999999999992</v>
      </c>
      <c r="G10" s="12">
        <v>398.56499999999994</v>
      </c>
    </row>
    <row r="11" spans="1:12" x14ac:dyDescent="0.3">
      <c r="B11" t="s">
        <v>6213</v>
      </c>
      <c r="C11" s="12">
        <v>163.01999999999998</v>
      </c>
      <c r="D11" s="12">
        <v>678.3599999999999</v>
      </c>
      <c r="E11" s="12">
        <v>171.04500000000002</v>
      </c>
      <c r="F11" s="12">
        <v>372.255</v>
      </c>
      <c r="G11" s="12">
        <v>1384.6799999999998</v>
      </c>
    </row>
    <row r="12" spans="1:12" x14ac:dyDescent="0.3">
      <c r="B12" t="s">
        <v>6214</v>
      </c>
      <c r="C12" s="12">
        <v>345.02</v>
      </c>
      <c r="D12" s="12">
        <v>273.86999999999995</v>
      </c>
      <c r="E12" s="12">
        <v>184.12999999999997</v>
      </c>
      <c r="F12" s="12">
        <v>201.11499999999998</v>
      </c>
      <c r="G12" s="12">
        <v>1004.1349999999999</v>
      </c>
    </row>
    <row r="13" spans="1:12" x14ac:dyDescent="0.3">
      <c r="B13" t="s">
        <v>6215</v>
      </c>
      <c r="C13" s="12">
        <v>334.89</v>
      </c>
      <c r="D13" s="12">
        <v>70.95</v>
      </c>
      <c r="E13" s="12">
        <v>134.23000000000002</v>
      </c>
      <c r="F13" s="12">
        <v>166.27499999999998</v>
      </c>
      <c r="G13" s="12">
        <v>706.34499999999991</v>
      </c>
      <c r="L13" t="s">
        <v>6222</v>
      </c>
    </row>
    <row r="14" spans="1:12" x14ac:dyDescent="0.3">
      <c r="B14" t="s">
        <v>6216</v>
      </c>
      <c r="C14" s="12">
        <v>178.70999999999998</v>
      </c>
      <c r="D14" s="12">
        <v>166.1</v>
      </c>
      <c r="E14" s="12">
        <v>439.30999999999995</v>
      </c>
      <c r="F14" s="12">
        <v>492.9</v>
      </c>
      <c r="G14" s="12">
        <v>1277.02</v>
      </c>
    </row>
    <row r="15" spans="1:12" x14ac:dyDescent="0.3">
      <c r="B15" t="s">
        <v>6217</v>
      </c>
      <c r="C15" s="12">
        <v>301.98500000000001</v>
      </c>
      <c r="D15" s="12">
        <v>153.76499999999999</v>
      </c>
      <c r="E15" s="12">
        <v>215.55499999999998</v>
      </c>
      <c r="F15" s="12">
        <v>213.66499999999999</v>
      </c>
      <c r="G15" s="12">
        <v>884.96999999999991</v>
      </c>
    </row>
    <row r="16" spans="1:12" x14ac:dyDescent="0.3">
      <c r="B16" t="s">
        <v>6218</v>
      </c>
      <c r="C16" s="12">
        <v>312.83499999999998</v>
      </c>
      <c r="D16" s="12">
        <v>63.249999999999993</v>
      </c>
      <c r="E16" s="12">
        <v>350.89500000000004</v>
      </c>
      <c r="F16" s="12">
        <v>96.405000000000001</v>
      </c>
      <c r="G16" s="12">
        <v>823.38499999999999</v>
      </c>
    </row>
    <row r="17" spans="1:7" x14ac:dyDescent="0.3">
      <c r="B17" t="s">
        <v>6219</v>
      </c>
      <c r="C17" s="12">
        <v>265.62</v>
      </c>
      <c r="D17" s="12">
        <v>526.51499999999987</v>
      </c>
      <c r="E17" s="12">
        <v>187.06</v>
      </c>
      <c r="F17" s="12">
        <v>210.58999999999997</v>
      </c>
      <c r="G17" s="12">
        <v>1189.7849999999999</v>
      </c>
    </row>
    <row r="18" spans="1:7" x14ac:dyDescent="0.3">
      <c r="C18" s="12"/>
      <c r="D18" s="12"/>
      <c r="E18" s="12"/>
      <c r="F18" s="12"/>
      <c r="G18" s="12"/>
    </row>
    <row r="19" spans="1:7" x14ac:dyDescent="0.3">
      <c r="A19" t="s">
        <v>6205</v>
      </c>
      <c r="C19" s="12">
        <v>3356.415</v>
      </c>
      <c r="D19" s="12">
        <v>3663.41</v>
      </c>
      <c r="E19" s="12">
        <v>2604.4550000000004</v>
      </c>
      <c r="F19" s="12">
        <v>2493.2649999999999</v>
      </c>
      <c r="G19" s="12">
        <v>12117.544999999998</v>
      </c>
    </row>
    <row r="20" spans="1:7" x14ac:dyDescent="0.3">
      <c r="B20" t="s">
        <v>6208</v>
      </c>
      <c r="C20" s="12">
        <v>47.25</v>
      </c>
      <c r="D20" s="12">
        <v>65.805000000000007</v>
      </c>
      <c r="E20" s="12">
        <v>274.67500000000001</v>
      </c>
      <c r="F20" s="12">
        <v>179.22</v>
      </c>
      <c r="G20" s="12">
        <v>566.95000000000005</v>
      </c>
    </row>
    <row r="21" spans="1:7" x14ac:dyDescent="0.3">
      <c r="B21" t="s">
        <v>6209</v>
      </c>
      <c r="C21" s="12">
        <v>745.44999999999993</v>
      </c>
      <c r="D21" s="12">
        <v>428.88499999999999</v>
      </c>
      <c r="E21" s="12">
        <v>194.17499999999998</v>
      </c>
      <c r="F21" s="12">
        <v>429.82999999999993</v>
      </c>
      <c r="G21" s="12">
        <v>1798.34</v>
      </c>
    </row>
    <row r="22" spans="1:7" x14ac:dyDescent="0.3">
      <c r="B22" t="s">
        <v>6210</v>
      </c>
      <c r="C22" s="12">
        <v>130.47</v>
      </c>
      <c r="D22" s="12">
        <v>271.48500000000001</v>
      </c>
      <c r="E22" s="12">
        <v>281.20499999999998</v>
      </c>
      <c r="F22" s="12">
        <v>231.63000000000002</v>
      </c>
      <c r="G22" s="12">
        <v>914.79000000000008</v>
      </c>
    </row>
    <row r="23" spans="1:7" x14ac:dyDescent="0.3">
      <c r="B23" t="s">
        <v>6211</v>
      </c>
      <c r="C23" s="12">
        <v>27</v>
      </c>
      <c r="D23" s="12">
        <v>347.26</v>
      </c>
      <c r="E23" s="12">
        <v>147.51</v>
      </c>
      <c r="F23" s="12">
        <v>240.04</v>
      </c>
      <c r="G23" s="12">
        <v>761.81</v>
      </c>
    </row>
    <row r="24" spans="1:7" x14ac:dyDescent="0.3">
      <c r="B24" t="s">
        <v>6212</v>
      </c>
      <c r="C24" s="12">
        <v>255.11499999999995</v>
      </c>
      <c r="D24" s="12">
        <v>541.73</v>
      </c>
      <c r="E24" s="12">
        <v>83.43</v>
      </c>
      <c r="F24" s="12">
        <v>59.079999999999991</v>
      </c>
      <c r="G24" s="12">
        <v>939.35500000000013</v>
      </c>
    </row>
    <row r="25" spans="1:7" x14ac:dyDescent="0.3">
      <c r="B25" t="s">
        <v>6213</v>
      </c>
      <c r="C25" s="12">
        <v>584.78999999999985</v>
      </c>
      <c r="D25" s="12">
        <v>357.42999999999995</v>
      </c>
      <c r="E25" s="12">
        <v>355.34</v>
      </c>
      <c r="F25" s="12">
        <v>140.88</v>
      </c>
      <c r="G25" s="12">
        <v>1438.4399999999996</v>
      </c>
    </row>
    <row r="26" spans="1:7" x14ac:dyDescent="0.3">
      <c r="B26" t="s">
        <v>6214</v>
      </c>
      <c r="C26" s="12">
        <v>430.62</v>
      </c>
      <c r="D26" s="12">
        <v>227.42500000000001</v>
      </c>
      <c r="E26" s="12">
        <v>236.315</v>
      </c>
      <c r="F26" s="12">
        <v>414.58499999999992</v>
      </c>
      <c r="G26" s="12">
        <v>1308.9450000000002</v>
      </c>
    </row>
    <row r="27" spans="1:7" x14ac:dyDescent="0.3">
      <c r="B27" t="s">
        <v>6215</v>
      </c>
      <c r="C27" s="12">
        <v>22.5</v>
      </c>
      <c r="D27" s="12">
        <v>77.72</v>
      </c>
      <c r="E27" s="12">
        <v>60.5</v>
      </c>
      <c r="F27" s="12">
        <v>139.67999999999998</v>
      </c>
      <c r="G27" s="12">
        <v>300.39999999999998</v>
      </c>
    </row>
    <row r="28" spans="1:7" x14ac:dyDescent="0.3">
      <c r="B28" t="s">
        <v>6216</v>
      </c>
      <c r="C28" s="12">
        <v>126.14999999999999</v>
      </c>
      <c r="D28" s="12">
        <v>195.11</v>
      </c>
      <c r="E28" s="12">
        <v>89.13</v>
      </c>
      <c r="F28" s="12">
        <v>302.65999999999997</v>
      </c>
      <c r="G28" s="12">
        <v>713.05</v>
      </c>
    </row>
    <row r="29" spans="1:7" x14ac:dyDescent="0.3">
      <c r="B29" t="s">
        <v>6217</v>
      </c>
      <c r="C29" s="12">
        <v>376.03</v>
      </c>
      <c r="D29" s="12">
        <v>523.24</v>
      </c>
      <c r="E29" s="12">
        <v>440.96499999999997</v>
      </c>
      <c r="F29" s="12">
        <v>174.46999999999997</v>
      </c>
      <c r="G29" s="12">
        <v>1514.7049999999999</v>
      </c>
    </row>
    <row r="30" spans="1:7" x14ac:dyDescent="0.3">
      <c r="B30" t="s">
        <v>6218</v>
      </c>
      <c r="C30" s="12">
        <v>515.17999999999995</v>
      </c>
      <c r="D30" s="12">
        <v>142.56</v>
      </c>
      <c r="E30" s="12">
        <v>347.03999999999996</v>
      </c>
      <c r="F30" s="12">
        <v>104.08499999999999</v>
      </c>
      <c r="G30" s="12">
        <v>1108.865</v>
      </c>
    </row>
    <row r="31" spans="1:7" x14ac:dyDescent="0.3">
      <c r="B31" t="s">
        <v>6219</v>
      </c>
      <c r="C31" s="12">
        <v>95.859999999999985</v>
      </c>
      <c r="D31" s="12">
        <v>484.76</v>
      </c>
      <c r="E31" s="12">
        <v>94.17</v>
      </c>
      <c r="F31" s="12">
        <v>77.10499999999999</v>
      </c>
      <c r="G31" s="12">
        <v>751.89499999999998</v>
      </c>
    </row>
    <row r="32" spans="1:7" x14ac:dyDescent="0.3">
      <c r="C32" s="12"/>
      <c r="D32" s="12"/>
      <c r="E32" s="12"/>
      <c r="F32" s="12"/>
      <c r="G32" s="12"/>
    </row>
    <row r="33" spans="1:7" x14ac:dyDescent="0.3">
      <c r="A33" t="s">
        <v>6206</v>
      </c>
      <c r="C33" s="12">
        <v>4045.63</v>
      </c>
      <c r="D33" s="12">
        <v>3469.64</v>
      </c>
      <c r="E33" s="12">
        <v>3836.6949999999997</v>
      </c>
      <c r="F33" s="12">
        <v>2414.145</v>
      </c>
      <c r="G33" s="12">
        <v>13766.109999999999</v>
      </c>
    </row>
    <row r="34" spans="1:7" x14ac:dyDescent="0.3">
      <c r="B34" t="s">
        <v>6208</v>
      </c>
      <c r="C34" s="12">
        <v>258.34500000000003</v>
      </c>
      <c r="D34" s="12">
        <v>139.625</v>
      </c>
      <c r="E34" s="12">
        <v>279.52000000000004</v>
      </c>
      <c r="F34" s="12">
        <v>160.19499999999999</v>
      </c>
      <c r="G34" s="12">
        <v>837.68499999999995</v>
      </c>
    </row>
    <row r="35" spans="1:7" x14ac:dyDescent="0.3">
      <c r="B35" t="s">
        <v>6209</v>
      </c>
      <c r="C35" s="12">
        <v>342.2</v>
      </c>
      <c r="D35" s="12">
        <v>284.24999999999994</v>
      </c>
      <c r="E35" s="12">
        <v>251.83</v>
      </c>
      <c r="F35" s="12">
        <v>80.550000000000011</v>
      </c>
      <c r="G35" s="12">
        <v>958.82999999999993</v>
      </c>
    </row>
    <row r="36" spans="1:7" x14ac:dyDescent="0.3">
      <c r="B36" t="s">
        <v>6210</v>
      </c>
      <c r="C36" s="12">
        <v>418.30499999999989</v>
      </c>
      <c r="D36" s="12">
        <v>468.125</v>
      </c>
      <c r="E36" s="12">
        <v>405.05500000000006</v>
      </c>
      <c r="F36" s="12">
        <v>253.15499999999997</v>
      </c>
      <c r="G36" s="12">
        <v>1544.6399999999999</v>
      </c>
    </row>
    <row r="37" spans="1:7" x14ac:dyDescent="0.3">
      <c r="B37" t="s">
        <v>6211</v>
      </c>
      <c r="C37" s="12">
        <v>102.32999999999998</v>
      </c>
      <c r="D37" s="12">
        <v>242.14000000000001</v>
      </c>
      <c r="E37" s="12">
        <v>554.875</v>
      </c>
      <c r="F37" s="12">
        <v>106.23999999999998</v>
      </c>
      <c r="G37" s="12">
        <v>1005.585</v>
      </c>
    </row>
    <row r="38" spans="1:7" x14ac:dyDescent="0.3">
      <c r="B38" t="s">
        <v>6212</v>
      </c>
      <c r="C38" s="12">
        <v>234.71999999999997</v>
      </c>
      <c r="D38" s="12">
        <v>133.08000000000001</v>
      </c>
      <c r="E38" s="12">
        <v>267.2</v>
      </c>
      <c r="F38" s="12">
        <v>272.68999999999994</v>
      </c>
      <c r="G38" s="12">
        <v>907.68999999999994</v>
      </c>
    </row>
    <row r="39" spans="1:7" x14ac:dyDescent="0.3">
      <c r="B39" t="s">
        <v>6213</v>
      </c>
      <c r="C39" s="12">
        <v>430.39</v>
      </c>
      <c r="D39" s="12">
        <v>136.20500000000001</v>
      </c>
      <c r="E39" s="12">
        <v>209.6</v>
      </c>
      <c r="F39" s="12">
        <v>88.334999999999994</v>
      </c>
      <c r="G39" s="12">
        <v>864.53000000000009</v>
      </c>
    </row>
    <row r="40" spans="1:7" x14ac:dyDescent="0.3">
      <c r="B40" t="s">
        <v>6214</v>
      </c>
      <c r="C40" s="12">
        <v>109.005</v>
      </c>
      <c r="D40" s="12">
        <v>393.57499999999999</v>
      </c>
      <c r="E40" s="12">
        <v>61.034999999999997</v>
      </c>
      <c r="F40" s="12">
        <v>199.48999999999998</v>
      </c>
      <c r="G40" s="12">
        <v>763.10500000000002</v>
      </c>
    </row>
    <row r="41" spans="1:7" x14ac:dyDescent="0.3">
      <c r="B41" t="s">
        <v>6215</v>
      </c>
      <c r="C41" s="12">
        <v>287.52499999999998</v>
      </c>
      <c r="D41" s="12">
        <v>288.67</v>
      </c>
      <c r="E41" s="12">
        <v>125.58</v>
      </c>
      <c r="F41" s="12">
        <v>374.13499999999999</v>
      </c>
      <c r="G41" s="12">
        <v>1075.9099999999999</v>
      </c>
    </row>
    <row r="42" spans="1:7" x14ac:dyDescent="0.3">
      <c r="B42" t="s">
        <v>6216</v>
      </c>
      <c r="C42" s="12">
        <v>840.92999999999984</v>
      </c>
      <c r="D42" s="12">
        <v>409.875</v>
      </c>
      <c r="E42" s="12">
        <v>171.32999999999998</v>
      </c>
      <c r="F42" s="12">
        <v>221.43999999999997</v>
      </c>
      <c r="G42" s="12">
        <v>1643.5749999999998</v>
      </c>
    </row>
    <row r="43" spans="1:7" x14ac:dyDescent="0.3">
      <c r="B43" t="s">
        <v>6217</v>
      </c>
      <c r="C43" s="12">
        <v>299.07</v>
      </c>
      <c r="D43" s="12">
        <v>260.32499999999999</v>
      </c>
      <c r="E43" s="12">
        <v>584.64</v>
      </c>
      <c r="F43" s="12">
        <v>256.36500000000001</v>
      </c>
      <c r="G43" s="12">
        <v>1400.3999999999999</v>
      </c>
    </row>
    <row r="44" spans="1:7" x14ac:dyDescent="0.3">
      <c r="B44" t="s">
        <v>6218</v>
      </c>
      <c r="C44" s="12">
        <v>323.32499999999999</v>
      </c>
      <c r="D44" s="12">
        <v>565.57000000000005</v>
      </c>
      <c r="E44" s="12">
        <v>537.80999999999995</v>
      </c>
      <c r="F44" s="12">
        <v>189.47499999999999</v>
      </c>
      <c r="G44" s="12">
        <v>1616.1799999999998</v>
      </c>
    </row>
    <row r="45" spans="1:7" x14ac:dyDescent="0.3">
      <c r="B45" t="s">
        <v>6219</v>
      </c>
      <c r="C45" s="12">
        <v>399.48499999999996</v>
      </c>
      <c r="D45" s="12">
        <v>148.19999999999999</v>
      </c>
      <c r="E45" s="12">
        <v>388.21999999999997</v>
      </c>
      <c r="F45" s="12">
        <v>212.07499999999999</v>
      </c>
      <c r="G45" s="12">
        <v>1147.98</v>
      </c>
    </row>
    <row r="46" spans="1:7" x14ac:dyDescent="0.3">
      <c r="C46" s="12"/>
      <c r="D46" s="12"/>
      <c r="E46" s="12"/>
      <c r="F46" s="12"/>
      <c r="G46" s="12"/>
    </row>
    <row r="47" spans="1:7" x14ac:dyDescent="0.3">
      <c r="A47" t="s">
        <v>6207</v>
      </c>
      <c r="C47" s="12">
        <v>1439.82</v>
      </c>
      <c r="D47" s="12">
        <v>1691.9299999999998</v>
      </c>
      <c r="E47" s="12">
        <v>2234.9199999999996</v>
      </c>
      <c r="F47" s="12">
        <v>1696.7649999999999</v>
      </c>
      <c r="G47" s="12">
        <v>7063.4349999999986</v>
      </c>
    </row>
    <row r="48" spans="1:7" x14ac:dyDescent="0.3">
      <c r="B48" t="s">
        <v>6208</v>
      </c>
      <c r="C48" s="12">
        <v>112.69499999999999</v>
      </c>
      <c r="D48" s="12">
        <v>166.32</v>
      </c>
      <c r="E48" s="12">
        <v>843.71499999999992</v>
      </c>
      <c r="F48" s="12">
        <v>146.685</v>
      </c>
      <c r="G48" s="12">
        <v>1269.415</v>
      </c>
    </row>
    <row r="49" spans="1:7" x14ac:dyDescent="0.3">
      <c r="B49" t="s">
        <v>6209</v>
      </c>
      <c r="C49" s="12">
        <v>114.87999999999998</v>
      </c>
      <c r="D49" s="12">
        <v>133.815</v>
      </c>
      <c r="E49" s="12">
        <v>91.175000000000011</v>
      </c>
      <c r="F49" s="12">
        <v>53.759999999999991</v>
      </c>
      <c r="G49" s="12">
        <v>393.63</v>
      </c>
    </row>
    <row r="50" spans="1:7" x14ac:dyDescent="0.3">
      <c r="B50" t="s">
        <v>6210</v>
      </c>
      <c r="C50" s="12">
        <v>277.76</v>
      </c>
      <c r="D50" s="12">
        <v>175.41</v>
      </c>
      <c r="E50" s="12">
        <v>462.50999999999993</v>
      </c>
      <c r="F50" s="12">
        <v>399.52499999999998</v>
      </c>
      <c r="G50" s="12">
        <v>1315.2049999999999</v>
      </c>
    </row>
    <row r="51" spans="1:7" x14ac:dyDescent="0.3">
      <c r="B51" t="s">
        <v>6211</v>
      </c>
      <c r="C51" s="12">
        <v>197.89499999999998</v>
      </c>
      <c r="D51" s="12">
        <v>289.755</v>
      </c>
      <c r="E51" s="12">
        <v>88.545000000000002</v>
      </c>
      <c r="F51" s="12">
        <v>200.25499999999997</v>
      </c>
      <c r="G51" s="12">
        <v>776.44999999999993</v>
      </c>
    </row>
    <row r="52" spans="1:7" x14ac:dyDescent="0.3">
      <c r="B52" t="s">
        <v>6212</v>
      </c>
      <c r="C52" s="12">
        <v>193.11499999999998</v>
      </c>
      <c r="D52" s="12">
        <v>212.49499999999998</v>
      </c>
      <c r="E52" s="12">
        <v>292.29000000000002</v>
      </c>
      <c r="F52" s="12">
        <v>304.46999999999997</v>
      </c>
      <c r="G52" s="12">
        <v>1002.3699999999999</v>
      </c>
    </row>
    <row r="53" spans="1:7" x14ac:dyDescent="0.3">
      <c r="B53" t="s">
        <v>6213</v>
      </c>
      <c r="C53" s="12">
        <v>179.79</v>
      </c>
      <c r="D53" s="12">
        <v>426.2</v>
      </c>
      <c r="E53" s="12">
        <v>170.08999999999997</v>
      </c>
      <c r="F53" s="12">
        <v>379.31</v>
      </c>
      <c r="G53" s="12">
        <v>1155.3899999999999</v>
      </c>
    </row>
    <row r="54" spans="1:7" x14ac:dyDescent="0.3">
      <c r="B54" t="s">
        <v>6214</v>
      </c>
      <c r="C54" s="12">
        <v>247.28999999999996</v>
      </c>
      <c r="D54" s="12">
        <v>246.685</v>
      </c>
      <c r="E54" s="12">
        <v>271.05499999999995</v>
      </c>
      <c r="F54" s="12">
        <v>141.69999999999999</v>
      </c>
      <c r="G54" s="12">
        <v>906.73</v>
      </c>
    </row>
    <row r="55" spans="1:7" x14ac:dyDescent="0.3">
      <c r="B55" t="s">
        <v>6215</v>
      </c>
      <c r="C55" s="12">
        <v>116.39499999999998</v>
      </c>
      <c r="D55" s="12">
        <v>41.25</v>
      </c>
      <c r="E55" s="12">
        <v>15.54</v>
      </c>
      <c r="F55" s="12">
        <v>71.06</v>
      </c>
      <c r="G55" s="12">
        <v>244.24499999999998</v>
      </c>
    </row>
    <row r="56" spans="1:7" x14ac:dyDescent="0.3">
      <c r="C56" s="12"/>
      <c r="D56" s="12"/>
      <c r="E56" s="12"/>
      <c r="F56" s="12"/>
      <c r="G56" s="12"/>
    </row>
    <row r="57" spans="1:7" x14ac:dyDescent="0.3">
      <c r="A57" t="s">
        <v>6203</v>
      </c>
      <c r="C57" s="12">
        <v>11768.495000000003</v>
      </c>
      <c r="D57" s="12">
        <v>12306.440000000002</v>
      </c>
      <c r="E57" s="12">
        <v>12054.075000000003</v>
      </c>
      <c r="F57" s="12">
        <v>9005.244999999999</v>
      </c>
      <c r="G57" s="12">
        <v>45134.255000000005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C78E2-8E44-4C82-8F90-B04A88FAB039}">
  <dimension ref="A3:L13"/>
  <sheetViews>
    <sheetView topLeftCell="A3" zoomScaleNormal="100" workbookViewId="0">
      <selection activeCell="A3" sqref="A3"/>
    </sheetView>
  </sheetViews>
  <sheetFormatPr defaultRowHeight="14.4" x14ac:dyDescent="0.3"/>
  <cols>
    <col min="1" max="1" width="14" bestFit="1" customWidth="1"/>
    <col min="2" max="2" width="11.6640625" bestFit="1" customWidth="1"/>
    <col min="3" max="5" width="19.109375" bestFit="1" customWidth="1"/>
    <col min="6" max="7" width="10.77734375" bestFit="1" customWidth="1"/>
    <col min="8" max="8" width="11.109375" customWidth="1"/>
  </cols>
  <sheetData>
    <row r="3" spans="1:12" x14ac:dyDescent="0.3">
      <c r="A3" s="11" t="s">
        <v>7</v>
      </c>
      <c r="B3" t="s">
        <v>6198</v>
      </c>
    </row>
    <row r="4" spans="1:12" x14ac:dyDescent="0.3">
      <c r="A4" t="s">
        <v>28</v>
      </c>
      <c r="B4" s="12">
        <v>2798.5050000000001</v>
      </c>
    </row>
    <row r="5" spans="1:12" x14ac:dyDescent="0.3">
      <c r="A5" t="s">
        <v>318</v>
      </c>
      <c r="B5" s="12">
        <v>6696.8649999999989</v>
      </c>
    </row>
    <row r="6" spans="1:12" x14ac:dyDescent="0.3">
      <c r="A6" t="s">
        <v>19</v>
      </c>
      <c r="B6" s="12">
        <v>35638.88499999998</v>
      </c>
    </row>
    <row r="7" spans="1:12" x14ac:dyDescent="0.3">
      <c r="A7" t="s">
        <v>6203</v>
      </c>
      <c r="B7" s="12">
        <v>45134.254999999976</v>
      </c>
    </row>
    <row r="13" spans="1:12" x14ac:dyDescent="0.3">
      <c r="L13" t="s">
        <v>6222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70CB3-FC15-4A0F-B672-21997296CF47}">
  <dimension ref="A3:L14"/>
  <sheetViews>
    <sheetView topLeftCell="A3" zoomScaleNormal="100" workbookViewId="0">
      <selection activeCell="A4" sqref="A4:A8"/>
    </sheetView>
  </sheetViews>
  <sheetFormatPr defaultRowHeight="14.4" x14ac:dyDescent="0.3"/>
  <cols>
    <col min="1" max="1" width="16.88671875" bestFit="1" customWidth="1"/>
    <col min="2" max="2" width="11.6640625" bestFit="1" customWidth="1"/>
    <col min="3" max="5" width="19.109375" bestFit="1" customWidth="1"/>
    <col min="6" max="7" width="10.77734375" bestFit="1" customWidth="1"/>
    <col min="8" max="8" width="11.109375" customWidth="1"/>
  </cols>
  <sheetData>
    <row r="3" spans="1:12" x14ac:dyDescent="0.3">
      <c r="A3" s="11" t="s">
        <v>4</v>
      </c>
      <c r="B3" t="s">
        <v>6198</v>
      </c>
    </row>
    <row r="4" spans="1:12" x14ac:dyDescent="0.3">
      <c r="A4" t="s">
        <v>3753</v>
      </c>
      <c r="B4" s="12">
        <v>278.01</v>
      </c>
    </row>
    <row r="5" spans="1:12" x14ac:dyDescent="0.3">
      <c r="A5" t="s">
        <v>1598</v>
      </c>
      <c r="B5" s="12">
        <v>281.67499999999995</v>
      </c>
    </row>
    <row r="6" spans="1:12" x14ac:dyDescent="0.3">
      <c r="A6" t="s">
        <v>2587</v>
      </c>
      <c r="B6" s="12">
        <v>289.11</v>
      </c>
    </row>
    <row r="7" spans="1:12" x14ac:dyDescent="0.3">
      <c r="A7" t="s">
        <v>5765</v>
      </c>
      <c r="B7" s="12">
        <v>307.04499999999996</v>
      </c>
    </row>
    <row r="8" spans="1:12" x14ac:dyDescent="0.3">
      <c r="A8" t="s">
        <v>5114</v>
      </c>
      <c r="B8" s="12">
        <v>317.06999999999994</v>
      </c>
    </row>
    <row r="9" spans="1:12" x14ac:dyDescent="0.3">
      <c r="A9" t="s">
        <v>6203</v>
      </c>
      <c r="B9" s="12">
        <v>1472.9099999999999</v>
      </c>
    </row>
    <row r="13" spans="1:12" x14ac:dyDescent="0.3">
      <c r="L13" t="s">
        <v>6222</v>
      </c>
    </row>
    <row r="14" spans="1:12" x14ac:dyDescent="0.3">
      <c r="J14" t="s">
        <v>6222</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696" zoomScale="108" zoomScaleNormal="115" workbookViewId="0">
      <selection activeCell="P2" sqref="P2:P1001"/>
    </sheetView>
  </sheetViews>
  <sheetFormatPr defaultRowHeight="14.4" x14ac:dyDescent="0.3"/>
  <cols>
    <col min="1" max="1" width="15.33203125" customWidth="1"/>
    <col min="2" max="2" width="14.109375" customWidth="1"/>
    <col min="3" max="3" width="17.44140625" bestFit="1" customWidth="1"/>
    <col min="4" max="4" width="11.77734375" customWidth="1"/>
    <col min="5" max="5" width="10.33203125" customWidth="1"/>
    <col min="6" max="6" width="18.5546875" customWidth="1"/>
    <col min="7" max="7" width="26" customWidth="1"/>
    <col min="8" max="8" width="14.33203125" bestFit="1" customWidth="1"/>
    <col min="9" max="9" width="12.88671875" customWidth="1"/>
    <col min="10" max="10" width="12.109375" customWidth="1"/>
    <col min="11" max="11" width="6" customWidth="1"/>
    <col min="12" max="12" width="11.109375" customWidth="1"/>
    <col min="13" max="13" width="10.44140625" customWidth="1"/>
    <col min="14" max="14" width="18.77734375" customWidth="1"/>
    <col min="15" max="15" width="17.6640625" customWidth="1"/>
    <col min="16" max="16" width="14.109375" bestFit="1" customWidth="1"/>
  </cols>
  <sheetData>
    <row r="1" spans="1:16" s="5" customFormat="1" x14ac:dyDescent="0.3">
      <c r="A1" s="9" t="s">
        <v>0</v>
      </c>
      <c r="B1" s="9" t="s">
        <v>1</v>
      </c>
      <c r="C1" s="9" t="s">
        <v>3</v>
      </c>
      <c r="D1" s="9" t="s">
        <v>11</v>
      </c>
      <c r="E1" s="9" t="s">
        <v>14</v>
      </c>
      <c r="F1" s="9" t="s">
        <v>4</v>
      </c>
      <c r="G1" s="9" t="s">
        <v>2</v>
      </c>
      <c r="H1" s="9" t="s">
        <v>7</v>
      </c>
      <c r="I1" s="9" t="s">
        <v>9</v>
      </c>
      <c r="J1" s="9" t="s">
        <v>10</v>
      </c>
      <c r="K1" s="9" t="s">
        <v>12</v>
      </c>
      <c r="L1" s="9" t="s">
        <v>13</v>
      </c>
      <c r="M1" s="9" t="s">
        <v>15</v>
      </c>
      <c r="N1" s="10" t="s">
        <v>6196</v>
      </c>
      <c r="O1" s="10" t="s">
        <v>6197</v>
      </c>
      <c r="P1" s="9" t="s">
        <v>6223</v>
      </c>
    </row>
    <row r="2" spans="1:16" x14ac:dyDescent="0.3">
      <c r="A2" s="2" t="s">
        <v>490</v>
      </c>
      <c r="B2" s="6">
        <v>43713</v>
      </c>
      <c r="C2" s="2" t="s">
        <v>491</v>
      </c>
      <c r="D2" t="s">
        <v>6138</v>
      </c>
      <c r="E2" s="2">
        <v>2</v>
      </c>
      <c r="F2" s="2" t="str">
        <f>_xlfn.XLOOKUP(C2,customers!$A$1:$A$1001,customers!$B$1:$B$1001,,0,1)</f>
        <v>Aloisia Allner</v>
      </c>
      <c r="G2" s="2" t="str">
        <f>IF((_xlfn.XLOOKUP(C2,customers!$A$2:$A$1001,customers!$C$2:$C$1001,,,)=0),"",(_xlfn.XLOOKUP(C2,customers!$A$2:$A$1001,customers!$C$2:$C$1001,,0,)))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t="str" cm="1">
        <f t="array" ref="N2">_xlfn.IFS(I2="rob","Robusta",I2="exc","Excesla",I2="ara","Arabica",I2="lib","Liberica")</f>
        <v>Robusta</v>
      </c>
      <c r="O2" t="str" cm="1">
        <f t="array" ref="O2">_xlfn.IFS(J2="m","Medium",J2="l","Light",J2="d","Dark")</f>
        <v>Medium</v>
      </c>
      <c r="P2" t="str">
        <f>_xlfn.XLOOKUP(orders[[#This Row],[Customer ID]],customers!$A$2:$A$1001,customers!$I$2:$I$1001,,0)</f>
        <v>Yes</v>
      </c>
    </row>
    <row r="3" spans="1:16" x14ac:dyDescent="0.3">
      <c r="A3" s="2" t="s">
        <v>490</v>
      </c>
      <c r="B3" s="6">
        <v>43713</v>
      </c>
      <c r="C3" s="2" t="s">
        <v>491</v>
      </c>
      <c r="D3" t="s">
        <v>6139</v>
      </c>
      <c r="E3" s="2">
        <v>5</v>
      </c>
      <c r="F3" s="2" t="str">
        <f>_xlfn.XLOOKUP(C3,customers!$A$1:$A$1001,customers!$B$1:$B$1001,,0,1)</f>
        <v>Aloisia Allner</v>
      </c>
      <c r="G3" s="2" t="str">
        <f>IF((_xlfn.XLOOKUP(C3,customers!$A$2:$A$1001,customers!$C$2:$C$1001,,,)=0),"",(_xlfn.XLOOKUP(C3,customers!$A$2:$A$1001,customers!$C$2:$C$1001,,0,)))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t="str" cm="1">
        <f t="array" ref="N3">_xlfn.IFS(I3="rob","Robusta",I3="exc","Excesla",I3="ara","Arabica",I3="lib","Liberica")</f>
        <v>Excesla</v>
      </c>
      <c r="O3" t="str" cm="1">
        <f t="array" ref="O3">_xlfn.IFS(J3="m","Medium",J3="l","Light",J3="d","Dark")</f>
        <v>Medium</v>
      </c>
      <c r="P3" t="str">
        <f>_xlfn.XLOOKUP(orders[[#This Row],[Customer ID]],customers!$A$2:$A$1001,customers!$I$2:$I$1001,,0)</f>
        <v>Yes</v>
      </c>
    </row>
    <row r="4" spans="1:16" x14ac:dyDescent="0.3">
      <c r="A4" s="2" t="s">
        <v>501</v>
      </c>
      <c r="B4" s="6">
        <v>44364</v>
      </c>
      <c r="C4" s="2" t="s">
        <v>502</v>
      </c>
      <c r="D4" t="s">
        <v>6140</v>
      </c>
      <c r="E4" s="2">
        <v>1</v>
      </c>
      <c r="F4" s="2" t="str">
        <f>_xlfn.XLOOKUP(C4,customers!$A$1:$A$1001,customers!$B$1:$B$1001,,0,1)</f>
        <v>Jami Redholes</v>
      </c>
      <c r="G4" s="2" t="str">
        <f>IF((_xlfn.XLOOKUP(C4,customers!$A$2:$A$1001,customers!$C$2:$C$1001,,,)=0),"",(_xlfn.XLOOKUP(C4,customers!$A$2:$A$1001,customers!$C$2:$C$1001,,0,)))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t="str" cm="1">
        <f t="array" ref="N4">_xlfn.IFS(I4="rob","Robusta",I4="exc","Excesla",I4="ara","Arabica",I4="lib","Liberica")</f>
        <v>Arabica</v>
      </c>
      <c r="O4" t="str" cm="1">
        <f t="array" ref="O4">_xlfn.IFS(J4="m","Medium",J4="l","Light",J4="d","Dark")</f>
        <v>Light</v>
      </c>
      <c r="P4" t="str">
        <f>_xlfn.XLOOKUP(orders[[#This Row],[Customer ID]],customers!$A$2:$A$1001,customers!$I$2:$I$1001,,0)</f>
        <v>Yes</v>
      </c>
    </row>
    <row r="5" spans="1:16" x14ac:dyDescent="0.3">
      <c r="A5" s="2" t="s">
        <v>512</v>
      </c>
      <c r="B5" s="6">
        <v>44392</v>
      </c>
      <c r="C5" s="2" t="s">
        <v>513</v>
      </c>
      <c r="D5" t="s">
        <v>6141</v>
      </c>
      <c r="E5" s="2">
        <v>2</v>
      </c>
      <c r="F5" s="2" t="str">
        <f>_xlfn.XLOOKUP(C5,customers!$A$1:$A$1001,customers!$B$1:$B$1001,,0,1)</f>
        <v>Christoffer O' Shea</v>
      </c>
      <c r="G5" s="2" t="str">
        <f>IF((_xlfn.XLOOKUP(C5,customers!$A$2:$A$1001,customers!$C$2:$C$1001,,,)=0),"",(_xlfn.XLOOKUP(C5,customers!$A$2:$A$1001,customers!$C$2:$C$1001,,0,)))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t="str" cm="1">
        <f t="array" ref="N5">_xlfn.IFS(I5="rob","Robusta",I5="exc","Excesla",I5="ara","Arabica",I5="lib","Liberica")</f>
        <v>Excesla</v>
      </c>
      <c r="O5" t="str" cm="1">
        <f t="array" ref="O5">_xlfn.IFS(J5="m","Medium",J5="l","Light",J5="d","Dark")</f>
        <v>Medium</v>
      </c>
      <c r="P5" t="str">
        <f>_xlfn.XLOOKUP(orders[[#This Row],[Customer ID]],customers!$A$2:$A$1001,customers!$I$2:$I$1001,,0)</f>
        <v>No</v>
      </c>
    </row>
    <row r="6" spans="1:16" x14ac:dyDescent="0.3">
      <c r="A6" s="2" t="s">
        <v>512</v>
      </c>
      <c r="B6" s="6">
        <v>44392</v>
      </c>
      <c r="C6" s="2" t="s">
        <v>513</v>
      </c>
      <c r="D6" t="s">
        <v>6142</v>
      </c>
      <c r="E6" s="2">
        <v>2</v>
      </c>
      <c r="F6" s="2" t="str">
        <f>_xlfn.XLOOKUP(C6,customers!$A$1:$A$1001,customers!$B$1:$B$1001,,0,1)</f>
        <v>Christoffer O' Shea</v>
      </c>
      <c r="G6" s="2" t="str">
        <f>IF((_xlfn.XLOOKUP(C6,customers!$A$2:$A$1001,customers!$C$2:$C$1001,,,)=0),"",(_xlfn.XLOOKUP(C6,customers!$A$2:$A$1001,customers!$C$2:$C$1001,,0,)))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t="str" cm="1">
        <f t="array" ref="N6">_xlfn.IFS(I6="rob","Robusta",I6="exc","Excesla",I6="ara","Arabica",I6="lib","Liberica")</f>
        <v>Robusta</v>
      </c>
      <c r="O6" t="str" cm="1">
        <f t="array" ref="O6">_xlfn.IFS(J6="m","Medium",J6="l","Light",J6="d","Dark")</f>
        <v>Light</v>
      </c>
      <c r="P6" t="str">
        <f>_xlfn.XLOOKUP(orders[[#This Row],[Customer ID]],customers!$A$2:$A$1001,customers!$I$2:$I$1001,,0)</f>
        <v>No</v>
      </c>
    </row>
    <row r="7" spans="1:16" x14ac:dyDescent="0.3">
      <c r="A7" s="2" t="s">
        <v>519</v>
      </c>
      <c r="B7" s="6">
        <v>44412</v>
      </c>
      <c r="C7" s="2" t="s">
        <v>520</v>
      </c>
      <c r="D7" t="s">
        <v>6143</v>
      </c>
      <c r="E7" s="2">
        <v>3</v>
      </c>
      <c r="F7" s="2" t="str">
        <f>_xlfn.XLOOKUP(C7,customers!$A$1:$A$1001,customers!$B$1:$B$1001,,0,1)</f>
        <v>Beryle Cottier</v>
      </c>
      <c r="G7" s="2" t="str">
        <f>IF((_xlfn.XLOOKUP(C7,customers!$A$2:$A$1001,customers!$C$2:$C$1001,,,)=0),"",(_xlfn.XLOOKUP(C7,customers!$A$2:$A$1001,customers!$C$2:$C$1001,,0,)))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t="str" cm="1">
        <f t="array" ref="N7">_xlfn.IFS(I7="rob","Robusta",I7="exc","Excesla",I7="ara","Arabica",I7="lib","Liberica")</f>
        <v>Liberica</v>
      </c>
      <c r="O7" t="str" cm="1">
        <f t="array" ref="O7">_xlfn.IFS(J7="m","Medium",J7="l","Light",J7="d","Dark")</f>
        <v>Dark</v>
      </c>
      <c r="P7" t="str">
        <f>_xlfn.XLOOKUP(orders[[#This Row],[Customer ID]],customers!$A$2:$A$1001,customers!$I$2:$I$1001,,0)</f>
        <v>No</v>
      </c>
    </row>
    <row r="8" spans="1:16" x14ac:dyDescent="0.3">
      <c r="A8" s="2" t="s">
        <v>524</v>
      </c>
      <c r="B8" s="6">
        <v>44582</v>
      </c>
      <c r="C8" s="2" t="s">
        <v>525</v>
      </c>
      <c r="D8" t="s">
        <v>6144</v>
      </c>
      <c r="E8" s="2">
        <v>3</v>
      </c>
      <c r="F8" s="2" t="str">
        <f>_xlfn.XLOOKUP(C8,customers!$A$1:$A$1001,customers!$B$1:$B$1001,,0,1)</f>
        <v>Shaylynn Lobe</v>
      </c>
      <c r="G8" s="2" t="str">
        <f>IF((_xlfn.XLOOKUP(C8,customers!$A$2:$A$1001,customers!$C$2:$C$1001,,,)=0),"",(_xlfn.XLOOKUP(C8,customers!$A$2:$A$1001,customers!$C$2:$C$1001,,0,)))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t="str" cm="1">
        <f t="array" ref="N8">_xlfn.IFS(I8="rob","Robusta",I8="exc","Excesla",I8="ara","Arabica",I8="lib","Liberica")</f>
        <v>Excesla</v>
      </c>
      <c r="O8" t="str" cm="1">
        <f t="array" ref="O8">_xlfn.IFS(J8="m","Medium",J8="l","Light",J8="d","Dark")</f>
        <v>Dark</v>
      </c>
      <c r="P8" t="str">
        <f>_xlfn.XLOOKUP(orders[[#This Row],[Customer ID]],customers!$A$2:$A$1001,customers!$I$2:$I$1001,,0)</f>
        <v>Yes</v>
      </c>
    </row>
    <row r="9" spans="1:16" x14ac:dyDescent="0.3">
      <c r="A9" s="2" t="s">
        <v>530</v>
      </c>
      <c r="B9" s="6">
        <v>44701</v>
      </c>
      <c r="C9" s="2" t="s">
        <v>531</v>
      </c>
      <c r="D9" t="s">
        <v>6145</v>
      </c>
      <c r="E9" s="2">
        <v>1</v>
      </c>
      <c r="F9" s="2" t="str">
        <f>_xlfn.XLOOKUP(C9,customers!$A$1:$A$1001,customers!$B$1:$B$1001,,0,1)</f>
        <v>Melvin Wharfe</v>
      </c>
      <c r="G9" s="2" t="str">
        <f>IF((_xlfn.XLOOKUP(C9,customers!$A$2:$A$1001,customers!$C$2:$C$1001,,,)=0),"",(_xlfn.XLOOKUP(C9,customers!$A$2:$A$1001,customers!$C$2:$C$1001,,0,)))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t="str" cm="1">
        <f t="array" ref="N9">_xlfn.IFS(I9="rob","Robusta",I9="exc","Excesla",I9="ara","Arabica",I9="lib","Liberica")</f>
        <v>Liberica</v>
      </c>
      <c r="O9" t="str" cm="1">
        <f t="array" ref="O9">_xlfn.IFS(J9="m","Medium",J9="l","Light",J9="d","Dark")</f>
        <v>Light</v>
      </c>
      <c r="P9" t="str">
        <f>_xlfn.XLOOKUP(orders[[#This Row],[Customer ID]],customers!$A$2:$A$1001,customers!$I$2:$I$1001,,0)</f>
        <v>Yes</v>
      </c>
    </row>
    <row r="10" spans="1:16" x14ac:dyDescent="0.3">
      <c r="A10" s="2" t="s">
        <v>535</v>
      </c>
      <c r="B10" s="6">
        <v>43467</v>
      </c>
      <c r="C10" s="2" t="s">
        <v>536</v>
      </c>
      <c r="D10" t="s">
        <v>6146</v>
      </c>
      <c r="E10" s="2">
        <v>3</v>
      </c>
      <c r="F10" s="2" t="str">
        <f>_xlfn.XLOOKUP(C10,customers!$A$1:$A$1001,customers!$B$1:$B$1001,,0,1)</f>
        <v>Guthrey Petracci</v>
      </c>
      <c r="G10" s="2" t="str">
        <f>IF((_xlfn.XLOOKUP(C10,customers!$A$2:$A$1001,customers!$C$2:$C$1001,,,)=0),"",(_xlfn.XLOOKUP(C10,customers!$A$2:$A$1001,customers!$C$2:$C$1001,,0,)))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t="str" cm="1">
        <f t="array" ref="N10">_xlfn.IFS(I10="rob","Robusta",I10="exc","Excesla",I10="ara","Arabica",I10="lib","Liberica")</f>
        <v>Robusta</v>
      </c>
      <c r="O10" t="str" cm="1">
        <f t="array" ref="O10">_xlfn.IFS(J10="m","Medium",J10="l","Light",J10="d","Dark")</f>
        <v>Medium</v>
      </c>
      <c r="P10" t="str">
        <f>_xlfn.XLOOKUP(orders[[#This Row],[Customer ID]],customers!$A$2:$A$1001,customers!$I$2:$I$1001,,0)</f>
        <v>No</v>
      </c>
    </row>
    <row r="11" spans="1:16" x14ac:dyDescent="0.3">
      <c r="A11" s="2" t="s">
        <v>541</v>
      </c>
      <c r="B11" s="6">
        <v>43713</v>
      </c>
      <c r="C11" s="2" t="s">
        <v>542</v>
      </c>
      <c r="D11" t="s">
        <v>6146</v>
      </c>
      <c r="E11" s="2">
        <v>1</v>
      </c>
      <c r="F11" s="2" t="str">
        <f>_xlfn.XLOOKUP(C11,customers!$A$1:$A$1001,customers!$B$1:$B$1001,,0,1)</f>
        <v>Rodger Raven</v>
      </c>
      <c r="G11" s="2" t="str">
        <f>IF((_xlfn.XLOOKUP(C11,customers!$A$2:$A$1001,customers!$C$2:$C$1001,,,)=0),"",(_xlfn.XLOOKUP(C11,customers!$A$2:$A$1001,customers!$C$2:$C$1001,,0,)))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t="str" cm="1">
        <f t="array" ref="N11">_xlfn.IFS(I11="rob","Robusta",I11="exc","Excesla",I11="ara","Arabica",I11="lib","Liberica")</f>
        <v>Robusta</v>
      </c>
      <c r="O11" t="str" cm="1">
        <f t="array" ref="O11">_xlfn.IFS(J11="m","Medium",J11="l","Light",J11="d","Dark")</f>
        <v>Medium</v>
      </c>
      <c r="P11" t="str">
        <f>_xlfn.XLOOKUP(orders[[#This Row],[Customer ID]],customers!$A$2:$A$1001,customers!$I$2:$I$1001,,0)</f>
        <v>No</v>
      </c>
    </row>
    <row r="12" spans="1:16" x14ac:dyDescent="0.3">
      <c r="A12" s="2" t="s">
        <v>547</v>
      </c>
      <c r="B12" s="6">
        <v>44263</v>
      </c>
      <c r="C12" s="2" t="s">
        <v>548</v>
      </c>
      <c r="D12" t="s">
        <v>6147</v>
      </c>
      <c r="E12" s="2">
        <v>4</v>
      </c>
      <c r="F12" s="2" t="str">
        <f>_xlfn.XLOOKUP(C12,customers!$A$1:$A$1001,customers!$B$1:$B$1001,,0,1)</f>
        <v>Ferrell Ferber</v>
      </c>
      <c r="G12" s="2" t="str">
        <f>IF((_xlfn.XLOOKUP(C12,customers!$A$2:$A$1001,customers!$C$2:$C$1001,,,)=0),"",(_xlfn.XLOOKUP(C12,customers!$A$2:$A$1001,customers!$C$2:$C$1001,,0,)))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t="str" cm="1">
        <f t="array" ref="N12">_xlfn.IFS(I12="rob","Robusta",I12="exc","Excesla",I12="ara","Arabica",I12="lib","Liberica")</f>
        <v>Arabica</v>
      </c>
      <c r="O12" t="str" cm="1">
        <f t="array" ref="O12">_xlfn.IFS(J12="m","Medium",J12="l","Light",J12="d","Dark")</f>
        <v>Dark</v>
      </c>
      <c r="P12" t="str">
        <f>_xlfn.XLOOKUP(orders[[#This Row],[Customer ID]],customers!$A$2:$A$1001,customers!$I$2:$I$1001,,0)</f>
        <v>No</v>
      </c>
    </row>
    <row r="13" spans="1:16" x14ac:dyDescent="0.3">
      <c r="A13" s="2" t="s">
        <v>553</v>
      </c>
      <c r="B13" s="6">
        <v>44132</v>
      </c>
      <c r="C13" s="2" t="s">
        <v>554</v>
      </c>
      <c r="D13" t="s">
        <v>6148</v>
      </c>
      <c r="E13" s="2">
        <v>5</v>
      </c>
      <c r="F13" s="2" t="str">
        <f>_xlfn.XLOOKUP(C13,customers!$A$1:$A$1001,customers!$B$1:$B$1001,,0,1)</f>
        <v>Duky Phizackerly</v>
      </c>
      <c r="G13" s="2" t="str">
        <f>IF((_xlfn.XLOOKUP(C13,customers!$A$2:$A$1001,customers!$C$2:$C$1001,,,)=0),"",(_xlfn.XLOOKUP(C13,customers!$A$2:$A$1001,customers!$C$2:$C$1001,,0,)))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t="str" cm="1">
        <f t="array" ref="N13">_xlfn.IFS(I13="rob","Robusta",I13="exc","Excesla",I13="ara","Arabica",I13="lib","Liberica")</f>
        <v>Excesla</v>
      </c>
      <c r="O13" t="str" cm="1">
        <f t="array" ref="O13">_xlfn.IFS(J13="m","Medium",J13="l","Light",J13="d","Dark")</f>
        <v>Light</v>
      </c>
      <c r="P13" t="str">
        <f>_xlfn.XLOOKUP(orders[[#This Row],[Customer ID]],customers!$A$2:$A$1001,customers!$I$2:$I$1001,,0)</f>
        <v>Yes</v>
      </c>
    </row>
    <row r="14" spans="1:16" x14ac:dyDescent="0.3">
      <c r="A14" s="2" t="s">
        <v>559</v>
      </c>
      <c r="B14" s="6">
        <v>44744</v>
      </c>
      <c r="C14" s="2" t="s">
        <v>560</v>
      </c>
      <c r="D14" t="s">
        <v>6138</v>
      </c>
      <c r="E14" s="2">
        <v>5</v>
      </c>
      <c r="F14" s="2" t="str">
        <f>_xlfn.XLOOKUP(C14,customers!$A$1:$A$1001,customers!$B$1:$B$1001,,0,1)</f>
        <v>Rosaleen Scholar</v>
      </c>
      <c r="G14" s="2" t="str">
        <f>IF((_xlfn.XLOOKUP(C14,customers!$A$2:$A$1001,customers!$C$2:$C$1001,,,)=0),"",(_xlfn.XLOOKUP(C14,customers!$A$2:$A$1001,customers!$C$2:$C$1001,,0,)))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t="str" cm="1">
        <f t="array" ref="N14">_xlfn.IFS(I14="rob","Robusta",I14="exc","Excesla",I14="ara","Arabica",I14="lib","Liberica")</f>
        <v>Robusta</v>
      </c>
      <c r="O14" t="str" cm="1">
        <f t="array" ref="O14">_xlfn.IFS(J14="m","Medium",J14="l","Light",J14="d","Dark")</f>
        <v>Medium</v>
      </c>
      <c r="P14" t="str">
        <f>_xlfn.XLOOKUP(orders[[#This Row],[Customer ID]],customers!$A$2:$A$1001,customers!$I$2:$I$1001,,0)</f>
        <v>No</v>
      </c>
    </row>
    <row r="15" spans="1:16" x14ac:dyDescent="0.3">
      <c r="A15" s="2" t="s">
        <v>565</v>
      </c>
      <c r="B15" s="6">
        <v>43973</v>
      </c>
      <c r="C15" s="2" t="s">
        <v>566</v>
      </c>
      <c r="D15" t="s">
        <v>6149</v>
      </c>
      <c r="E15" s="2">
        <v>2</v>
      </c>
      <c r="F15" s="2" t="str">
        <f>_xlfn.XLOOKUP(C15,customers!$A$1:$A$1001,customers!$B$1:$B$1001,,0,1)</f>
        <v>Terence Vanyutin</v>
      </c>
      <c r="G15" s="2" t="str">
        <f>IF((_xlfn.XLOOKUP(C15,customers!$A$2:$A$1001,customers!$C$2:$C$1001,,,)=0),"",(_xlfn.XLOOKUP(C15,customers!$A$2:$A$1001,customers!$C$2:$C$1001,,0,)))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t="str" cm="1">
        <f t="array" ref="N15">_xlfn.IFS(I15="rob","Robusta",I15="exc","Excesla",I15="ara","Arabica",I15="lib","Liberica")</f>
        <v>Robusta</v>
      </c>
      <c r="O15" t="str" cm="1">
        <f t="array" ref="O15">_xlfn.IFS(J15="m","Medium",J15="l","Light",J15="d","Dark")</f>
        <v>Dark</v>
      </c>
      <c r="P15" t="str">
        <f>_xlfn.XLOOKUP(orders[[#This Row],[Customer ID]],customers!$A$2:$A$1001,customers!$I$2:$I$1001,,0)</f>
        <v>No</v>
      </c>
    </row>
    <row r="16" spans="1:16" x14ac:dyDescent="0.3">
      <c r="A16" s="2" t="s">
        <v>570</v>
      </c>
      <c r="B16" s="6">
        <v>44656</v>
      </c>
      <c r="C16" s="2" t="s">
        <v>571</v>
      </c>
      <c r="D16" t="s">
        <v>6150</v>
      </c>
      <c r="E16" s="2">
        <v>3</v>
      </c>
      <c r="F16" s="2" t="str">
        <f>_xlfn.XLOOKUP(C16,customers!$A$1:$A$1001,customers!$B$1:$B$1001,,0,1)</f>
        <v>Patrice Trobe</v>
      </c>
      <c r="G16" s="2" t="str">
        <f>IF((_xlfn.XLOOKUP(C16,customers!$A$2:$A$1001,customers!$C$2:$C$1001,,,)=0),"",(_xlfn.XLOOKUP(C16,customers!$A$2:$A$1001,customers!$C$2:$C$1001,,0,)))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t="str" cm="1">
        <f t="array" ref="N16">_xlfn.IFS(I16="rob","Robusta",I16="exc","Excesla",I16="ara","Arabica",I16="lib","Liberica")</f>
        <v>Liberica</v>
      </c>
      <c r="O16" t="str" cm="1">
        <f t="array" ref="O16">_xlfn.IFS(J16="m","Medium",J16="l","Light",J16="d","Dark")</f>
        <v>Dark</v>
      </c>
      <c r="P16" t="str">
        <f>_xlfn.XLOOKUP(orders[[#This Row],[Customer ID]],customers!$A$2:$A$1001,customers!$I$2:$I$1001,,0)</f>
        <v>Yes</v>
      </c>
    </row>
    <row r="17" spans="1:16" x14ac:dyDescent="0.3">
      <c r="A17" s="2" t="s">
        <v>576</v>
      </c>
      <c r="B17" s="6">
        <v>44719</v>
      </c>
      <c r="C17" s="2" t="s">
        <v>577</v>
      </c>
      <c r="D17" t="s">
        <v>6151</v>
      </c>
      <c r="E17" s="2">
        <v>5</v>
      </c>
      <c r="F17" s="2" t="str">
        <f>_xlfn.XLOOKUP(C17,customers!$A$1:$A$1001,customers!$B$1:$B$1001,,0,1)</f>
        <v>Llywellyn Oscroft</v>
      </c>
      <c r="G17" s="2" t="str">
        <f>IF((_xlfn.XLOOKUP(C17,customers!$A$2:$A$1001,customers!$C$2:$C$1001,,,)=0),"",(_xlfn.XLOOKUP(C17,customers!$A$2:$A$1001,customers!$C$2:$C$1001,,0,)))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t="str" cm="1">
        <f t="array" ref="N17">_xlfn.IFS(I17="rob","Robusta",I17="exc","Excesla",I17="ara","Arabica",I17="lib","Liberica")</f>
        <v>Robusta</v>
      </c>
      <c r="O17" t="str" cm="1">
        <f t="array" ref="O17">_xlfn.IFS(J17="m","Medium",J17="l","Light",J17="d","Dark")</f>
        <v>Medium</v>
      </c>
      <c r="P17" t="str">
        <f>_xlfn.XLOOKUP(orders[[#This Row],[Customer ID]],customers!$A$2:$A$1001,customers!$I$2:$I$1001,,0)</f>
        <v>No</v>
      </c>
    </row>
    <row r="18" spans="1:16" x14ac:dyDescent="0.3">
      <c r="A18" s="2" t="s">
        <v>581</v>
      </c>
      <c r="B18" s="6">
        <v>43544</v>
      </c>
      <c r="C18" s="2" t="s">
        <v>582</v>
      </c>
      <c r="D18" t="s">
        <v>6152</v>
      </c>
      <c r="E18" s="2">
        <v>6</v>
      </c>
      <c r="F18" s="2" t="str">
        <f>_xlfn.XLOOKUP(C18,customers!$A$1:$A$1001,customers!$B$1:$B$1001,,0,1)</f>
        <v>Minni Alabaster</v>
      </c>
      <c r="G18" s="2" t="str">
        <f>IF((_xlfn.XLOOKUP(C18,customers!$A$2:$A$1001,customers!$C$2:$C$1001,,,)=0),"",(_xlfn.XLOOKUP(C18,customers!$A$2:$A$1001,customers!$C$2:$C$1001,,0,)))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t="str" cm="1">
        <f t="array" ref="N18">_xlfn.IFS(I18="rob","Robusta",I18="exc","Excesla",I18="ara","Arabica",I18="lib","Liberica")</f>
        <v>Arabica</v>
      </c>
      <c r="O18" t="str" cm="1">
        <f t="array" ref="O18">_xlfn.IFS(J18="m","Medium",J18="l","Light",J18="d","Dark")</f>
        <v>Medium</v>
      </c>
      <c r="P18" t="str">
        <f>_xlfn.XLOOKUP(orders[[#This Row],[Customer ID]],customers!$A$2:$A$1001,customers!$I$2:$I$1001,,0)</f>
        <v>No</v>
      </c>
    </row>
    <row r="19" spans="1:16" x14ac:dyDescent="0.3">
      <c r="A19" s="2" t="s">
        <v>587</v>
      </c>
      <c r="B19" s="6">
        <v>43757</v>
      </c>
      <c r="C19" s="2" t="s">
        <v>588</v>
      </c>
      <c r="D19" t="s">
        <v>6140</v>
      </c>
      <c r="E19" s="2">
        <v>6</v>
      </c>
      <c r="F19" s="2" t="str">
        <f>_xlfn.XLOOKUP(C19,customers!$A$1:$A$1001,customers!$B$1:$B$1001,,0,1)</f>
        <v>Rhianon Broxup</v>
      </c>
      <c r="G19" s="2" t="str">
        <f>IF((_xlfn.XLOOKUP(C19,customers!$A$2:$A$1001,customers!$C$2:$C$1001,,,)=0),"",(_xlfn.XLOOKUP(C19,customers!$A$2:$A$1001,customers!$C$2:$C$1001,,0,)))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t="str" cm="1">
        <f t="array" ref="N19">_xlfn.IFS(I19="rob","Robusta",I19="exc","Excesla",I19="ara","Arabica",I19="lib","Liberica")</f>
        <v>Arabica</v>
      </c>
      <c r="O19" t="str" cm="1">
        <f t="array" ref="O19">_xlfn.IFS(J19="m","Medium",J19="l","Light",J19="d","Dark")</f>
        <v>Light</v>
      </c>
      <c r="P19" t="str">
        <f>_xlfn.XLOOKUP(orders[[#This Row],[Customer ID]],customers!$A$2:$A$1001,customers!$I$2:$I$1001,,0)</f>
        <v>No</v>
      </c>
    </row>
    <row r="20" spans="1:16" x14ac:dyDescent="0.3">
      <c r="A20" s="2" t="s">
        <v>593</v>
      </c>
      <c r="B20" s="6">
        <v>43629</v>
      </c>
      <c r="C20" s="2" t="s">
        <v>594</v>
      </c>
      <c r="D20" t="s">
        <v>6149</v>
      </c>
      <c r="E20" s="2">
        <v>4</v>
      </c>
      <c r="F20" s="2" t="str">
        <f>_xlfn.XLOOKUP(C20,customers!$A$1:$A$1001,customers!$B$1:$B$1001,,0,1)</f>
        <v>Pall Redford</v>
      </c>
      <c r="G20" s="2" t="str">
        <f>IF((_xlfn.XLOOKUP(C20,customers!$A$2:$A$1001,customers!$C$2:$C$1001,,,)=0),"",(_xlfn.XLOOKUP(C20,customers!$A$2:$A$1001,customers!$C$2:$C$1001,,0,)))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t="str" cm="1">
        <f t="array" ref="N20">_xlfn.IFS(I20="rob","Robusta",I20="exc","Excesla",I20="ara","Arabica",I20="lib","Liberica")</f>
        <v>Robusta</v>
      </c>
      <c r="O20" t="str" cm="1">
        <f t="array" ref="O20">_xlfn.IFS(J20="m","Medium",J20="l","Light",J20="d","Dark")</f>
        <v>Dark</v>
      </c>
      <c r="P20" t="str">
        <f>_xlfn.XLOOKUP(orders[[#This Row],[Customer ID]],customers!$A$2:$A$1001,customers!$I$2:$I$1001,,0)</f>
        <v>Yes</v>
      </c>
    </row>
    <row r="21" spans="1:16" x14ac:dyDescent="0.3">
      <c r="A21" s="2" t="s">
        <v>598</v>
      </c>
      <c r="B21" s="6">
        <v>44169</v>
      </c>
      <c r="C21" s="2" t="s">
        <v>599</v>
      </c>
      <c r="D21" t="s">
        <v>6152</v>
      </c>
      <c r="E21" s="2">
        <v>5</v>
      </c>
      <c r="F21" s="2" t="str">
        <f>_xlfn.XLOOKUP(C21,customers!$A$1:$A$1001,customers!$B$1:$B$1001,,0,1)</f>
        <v>Aurea Corradino</v>
      </c>
      <c r="G21" s="2" t="str">
        <f>IF((_xlfn.XLOOKUP(C21,customers!$A$2:$A$1001,customers!$C$2:$C$1001,,,)=0),"",(_xlfn.XLOOKUP(C21,customers!$A$2:$A$1001,customers!$C$2:$C$1001,,0,)))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t="str" cm="1">
        <f t="array" ref="N21">_xlfn.IFS(I21="rob","Robusta",I21="exc","Excesla",I21="ara","Arabica",I21="lib","Liberica")</f>
        <v>Arabica</v>
      </c>
      <c r="O21" t="str" cm="1">
        <f t="array" ref="O21">_xlfn.IFS(J21="m","Medium",J21="l","Light",J21="d","Dark")</f>
        <v>Medium</v>
      </c>
      <c r="P21" t="str">
        <f>_xlfn.XLOOKUP(orders[[#This Row],[Customer ID]],customers!$A$2:$A$1001,customers!$I$2:$I$1001,,0)</f>
        <v>Yes</v>
      </c>
    </row>
    <row r="22" spans="1:16" x14ac:dyDescent="0.3">
      <c r="A22" s="2" t="s">
        <v>598</v>
      </c>
      <c r="B22" s="6">
        <v>44169</v>
      </c>
      <c r="C22" s="2" t="s">
        <v>599</v>
      </c>
      <c r="D22" t="s">
        <v>6153</v>
      </c>
      <c r="E22" s="2">
        <v>4</v>
      </c>
      <c r="F22" s="2" t="str">
        <f>_xlfn.XLOOKUP(C22,customers!$A$1:$A$1001,customers!$B$1:$B$1001,,0,1)</f>
        <v>Aurea Corradino</v>
      </c>
      <c r="G22" s="2" t="str">
        <f>IF((_xlfn.XLOOKUP(C22,customers!$A$2:$A$1001,customers!$C$2:$C$1001,,,)=0),"",(_xlfn.XLOOKUP(C22,customers!$A$2:$A$1001,customers!$C$2:$C$1001,,0,)))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t="str" cm="1">
        <f t="array" ref="N22">_xlfn.IFS(I22="rob","Robusta",I22="exc","Excesla",I22="ara","Arabica",I22="lib","Liberica")</f>
        <v>Excesla</v>
      </c>
      <c r="O22" t="str" cm="1">
        <f t="array" ref="O22">_xlfn.IFS(J22="m","Medium",J22="l","Light",J22="d","Dark")</f>
        <v>Dark</v>
      </c>
      <c r="P22" t="str">
        <f>_xlfn.XLOOKUP(orders[[#This Row],[Customer ID]],customers!$A$2:$A$1001,customers!$I$2:$I$1001,,0)</f>
        <v>Yes</v>
      </c>
    </row>
    <row r="23" spans="1:16" x14ac:dyDescent="0.3">
      <c r="A23" s="2" t="s">
        <v>608</v>
      </c>
      <c r="B23" s="6">
        <v>44169</v>
      </c>
      <c r="C23" s="2" t="s">
        <v>609</v>
      </c>
      <c r="D23" t="s">
        <v>6154</v>
      </c>
      <c r="E23" s="2">
        <v>6</v>
      </c>
      <c r="F23" s="2" t="str">
        <f>_xlfn.XLOOKUP(C23,customers!$A$1:$A$1001,customers!$B$1:$B$1001,,0,1)</f>
        <v>Avrit Davidowsky</v>
      </c>
      <c r="G23" s="2" t="str">
        <f>IF((_xlfn.XLOOKUP(C23,customers!$A$2:$A$1001,customers!$C$2:$C$1001,,,)=0),"",(_xlfn.XLOOKUP(C23,customers!$A$2:$A$1001,customers!$C$2:$C$1001,,0,)))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t="str" cm="1">
        <f t="array" ref="N23">_xlfn.IFS(I23="rob","Robusta",I23="exc","Excesla",I23="ara","Arabica",I23="lib","Liberica")</f>
        <v>Arabica</v>
      </c>
      <c r="O23" t="str" cm="1">
        <f t="array" ref="O23">_xlfn.IFS(J23="m","Medium",J23="l","Light",J23="d","Dark")</f>
        <v>Dark</v>
      </c>
      <c r="P23" t="str">
        <f>_xlfn.XLOOKUP(orders[[#This Row],[Customer ID]],customers!$A$2:$A$1001,customers!$I$2:$I$1001,,0)</f>
        <v>No</v>
      </c>
    </row>
    <row r="24" spans="1:16" x14ac:dyDescent="0.3">
      <c r="A24" s="2" t="s">
        <v>614</v>
      </c>
      <c r="B24" s="6">
        <v>44218</v>
      </c>
      <c r="C24" s="2" t="s">
        <v>615</v>
      </c>
      <c r="D24" t="s">
        <v>6151</v>
      </c>
      <c r="E24" s="2">
        <v>4</v>
      </c>
      <c r="F24" s="2" t="str">
        <f>_xlfn.XLOOKUP(C24,customers!$A$1:$A$1001,customers!$B$1:$B$1001,,0,1)</f>
        <v>Annabel Antuk</v>
      </c>
      <c r="G24" s="2" t="str">
        <f>IF((_xlfn.XLOOKUP(C24,customers!$A$2:$A$1001,customers!$C$2:$C$1001,,,)=0),"",(_xlfn.XLOOKUP(C24,customers!$A$2:$A$1001,customers!$C$2:$C$1001,,0,)))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t="str" cm="1">
        <f t="array" ref="N24">_xlfn.IFS(I24="rob","Robusta",I24="exc","Excesla",I24="ara","Arabica",I24="lib","Liberica")</f>
        <v>Robusta</v>
      </c>
      <c r="O24" t="str" cm="1">
        <f t="array" ref="O24">_xlfn.IFS(J24="m","Medium",J24="l","Light",J24="d","Dark")</f>
        <v>Medium</v>
      </c>
      <c r="P24" t="str">
        <f>_xlfn.XLOOKUP(orders[[#This Row],[Customer ID]],customers!$A$2:$A$1001,customers!$I$2:$I$1001,,0)</f>
        <v>Yes</v>
      </c>
    </row>
    <row r="25" spans="1:16" x14ac:dyDescent="0.3">
      <c r="A25" s="2" t="s">
        <v>620</v>
      </c>
      <c r="B25" s="6">
        <v>44603</v>
      </c>
      <c r="C25" s="2" t="s">
        <v>621</v>
      </c>
      <c r="D25" t="s">
        <v>6154</v>
      </c>
      <c r="E25" s="2">
        <v>4</v>
      </c>
      <c r="F25" s="2" t="str">
        <f>_xlfn.XLOOKUP(C25,customers!$A$1:$A$1001,customers!$B$1:$B$1001,,0,1)</f>
        <v>Iorgo Kleinert</v>
      </c>
      <c r="G25" s="2" t="str">
        <f>IF((_xlfn.XLOOKUP(C25,customers!$A$2:$A$1001,customers!$C$2:$C$1001,,,)=0),"",(_xlfn.XLOOKUP(C25,customers!$A$2:$A$1001,customers!$C$2:$C$1001,,0,)))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t="str" cm="1">
        <f t="array" ref="N25">_xlfn.IFS(I25="rob","Robusta",I25="exc","Excesla",I25="ara","Arabica",I25="lib","Liberica")</f>
        <v>Arabica</v>
      </c>
      <c r="O25" t="str" cm="1">
        <f t="array" ref="O25">_xlfn.IFS(J25="m","Medium",J25="l","Light",J25="d","Dark")</f>
        <v>Dark</v>
      </c>
      <c r="P25" t="str">
        <f>_xlfn.XLOOKUP(orders[[#This Row],[Customer ID]],customers!$A$2:$A$1001,customers!$I$2:$I$1001,,0)</f>
        <v>Yes</v>
      </c>
    </row>
    <row r="26" spans="1:16" x14ac:dyDescent="0.3">
      <c r="A26" s="2" t="s">
        <v>626</v>
      </c>
      <c r="B26" s="6">
        <v>44454</v>
      </c>
      <c r="C26" s="2" t="s">
        <v>627</v>
      </c>
      <c r="D26" t="s">
        <v>6155</v>
      </c>
      <c r="E26" s="2">
        <v>1</v>
      </c>
      <c r="F26" s="2" t="str">
        <f>_xlfn.XLOOKUP(C26,customers!$A$1:$A$1001,customers!$B$1:$B$1001,,0,1)</f>
        <v>Chrisy Blofeld</v>
      </c>
      <c r="G26" s="2" t="str">
        <f>IF((_xlfn.XLOOKUP(C26,customers!$A$2:$A$1001,customers!$C$2:$C$1001,,,)=0),"",(_xlfn.XLOOKUP(C26,customers!$A$2:$A$1001,customers!$C$2:$C$1001,,0,)))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t="str" cm="1">
        <f t="array" ref="N26">_xlfn.IFS(I26="rob","Robusta",I26="exc","Excesla",I26="ara","Arabica",I26="lib","Liberica")</f>
        <v>Arabica</v>
      </c>
      <c r="O26" t="str" cm="1">
        <f t="array" ref="O26">_xlfn.IFS(J26="m","Medium",J26="l","Light",J26="d","Dark")</f>
        <v>Medium</v>
      </c>
      <c r="P26" t="str">
        <f>_xlfn.XLOOKUP(orders[[#This Row],[Customer ID]],customers!$A$2:$A$1001,customers!$I$2:$I$1001,,0)</f>
        <v>No</v>
      </c>
    </row>
    <row r="27" spans="1:16" x14ac:dyDescent="0.3">
      <c r="A27" s="2" t="s">
        <v>632</v>
      </c>
      <c r="B27" s="6">
        <v>44128</v>
      </c>
      <c r="C27" s="2" t="s">
        <v>633</v>
      </c>
      <c r="D27" t="s">
        <v>6156</v>
      </c>
      <c r="E27" s="2">
        <v>3</v>
      </c>
      <c r="F27" s="2" t="str">
        <f>_xlfn.XLOOKUP(C27,customers!$A$1:$A$1001,customers!$B$1:$B$1001,,0,1)</f>
        <v>Culley Farris</v>
      </c>
      <c r="G27" s="2" t="str">
        <f>IF((_xlfn.XLOOKUP(C27,customers!$A$2:$A$1001,customers!$C$2:$C$1001,,,)=0),"",(_xlfn.XLOOKUP(C27,customers!$A$2:$A$1001,customers!$C$2:$C$1001,,0,)))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t="str" cm="1">
        <f t="array" ref="N27">_xlfn.IFS(I27="rob","Robusta",I27="exc","Excesla",I27="ara","Arabica",I27="lib","Liberica")</f>
        <v>Excesla</v>
      </c>
      <c r="O27" t="str" cm="1">
        <f t="array" ref="O27">_xlfn.IFS(J27="m","Medium",J27="l","Light",J27="d","Dark")</f>
        <v>Medium</v>
      </c>
      <c r="P27" t="str">
        <f>_xlfn.XLOOKUP(orders[[#This Row],[Customer ID]],customers!$A$2:$A$1001,customers!$I$2:$I$1001,,0)</f>
        <v>Yes</v>
      </c>
    </row>
    <row r="28" spans="1:16" x14ac:dyDescent="0.3">
      <c r="A28" s="2" t="s">
        <v>637</v>
      </c>
      <c r="B28" s="6">
        <v>43516</v>
      </c>
      <c r="C28" s="2" t="s">
        <v>638</v>
      </c>
      <c r="D28" t="s">
        <v>6157</v>
      </c>
      <c r="E28" s="2">
        <v>4</v>
      </c>
      <c r="F28" s="2" t="str">
        <f>_xlfn.XLOOKUP(C28,customers!$A$1:$A$1001,customers!$B$1:$B$1001,,0,1)</f>
        <v>Selene Shales</v>
      </c>
      <c r="G28" s="2" t="str">
        <f>IF((_xlfn.XLOOKUP(C28,customers!$A$2:$A$1001,customers!$C$2:$C$1001,,,)=0),"",(_xlfn.XLOOKUP(C28,customers!$A$2:$A$1001,customers!$C$2:$C$1001,,0,)))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t="str" cm="1">
        <f t="array" ref="N28">_xlfn.IFS(I28="rob","Robusta",I28="exc","Excesla",I28="ara","Arabica",I28="lib","Liberica")</f>
        <v>Arabica</v>
      </c>
      <c r="O28" t="str" cm="1">
        <f t="array" ref="O28">_xlfn.IFS(J28="m","Medium",J28="l","Light",J28="d","Dark")</f>
        <v>Medium</v>
      </c>
      <c r="P28" t="str">
        <f>_xlfn.XLOOKUP(orders[[#This Row],[Customer ID]],customers!$A$2:$A$1001,customers!$I$2:$I$1001,,0)</f>
        <v>Yes</v>
      </c>
    </row>
    <row r="29" spans="1:16" x14ac:dyDescent="0.3">
      <c r="A29" s="2" t="s">
        <v>643</v>
      </c>
      <c r="B29" s="6">
        <v>43746</v>
      </c>
      <c r="C29" s="2" t="s">
        <v>644</v>
      </c>
      <c r="D29" t="s">
        <v>6152</v>
      </c>
      <c r="E29" s="2">
        <v>5</v>
      </c>
      <c r="F29" s="2" t="str">
        <f>_xlfn.XLOOKUP(C29,customers!$A$1:$A$1001,customers!$B$1:$B$1001,,0,1)</f>
        <v>Vivie Danneil</v>
      </c>
      <c r="G29" s="2" t="str">
        <f>IF((_xlfn.XLOOKUP(C29,customers!$A$2:$A$1001,customers!$C$2:$C$1001,,,)=0),"",(_xlfn.XLOOKUP(C29,customers!$A$2:$A$1001,customers!$C$2:$C$1001,,0,)))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t="str" cm="1">
        <f t="array" ref="N29">_xlfn.IFS(I29="rob","Robusta",I29="exc","Excesla",I29="ara","Arabica",I29="lib","Liberica")</f>
        <v>Arabica</v>
      </c>
      <c r="O29" t="str" cm="1">
        <f t="array" ref="O29">_xlfn.IFS(J29="m","Medium",J29="l","Light",J29="d","Dark")</f>
        <v>Medium</v>
      </c>
      <c r="P29" t="str">
        <f>_xlfn.XLOOKUP(orders[[#This Row],[Customer ID]],customers!$A$2:$A$1001,customers!$I$2:$I$1001,,0)</f>
        <v>No</v>
      </c>
    </row>
    <row r="30" spans="1:16" x14ac:dyDescent="0.3">
      <c r="A30" s="2" t="s">
        <v>649</v>
      </c>
      <c r="B30" s="6">
        <v>44775</v>
      </c>
      <c r="C30" s="2" t="s">
        <v>650</v>
      </c>
      <c r="D30" t="s">
        <v>6158</v>
      </c>
      <c r="E30" s="2">
        <v>3</v>
      </c>
      <c r="F30" s="2" t="str">
        <f>_xlfn.XLOOKUP(C30,customers!$A$1:$A$1001,customers!$B$1:$B$1001,,0,1)</f>
        <v>Theresita Newbury</v>
      </c>
      <c r="G30" s="2" t="str">
        <f>IF((_xlfn.XLOOKUP(C30,customers!$A$2:$A$1001,customers!$C$2:$C$1001,,,)=0),"",(_xlfn.XLOOKUP(C30,customers!$A$2:$A$1001,customers!$C$2:$C$1001,,0,)))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t="str" cm="1">
        <f t="array" ref="N30">_xlfn.IFS(I30="rob","Robusta",I30="exc","Excesla",I30="ara","Arabica",I30="lib","Liberica")</f>
        <v>Arabica</v>
      </c>
      <c r="O30" t="str" cm="1">
        <f t="array" ref="O30">_xlfn.IFS(J30="m","Medium",J30="l","Light",J30="d","Dark")</f>
        <v>Dark</v>
      </c>
      <c r="P30" t="str">
        <f>_xlfn.XLOOKUP(orders[[#This Row],[Customer ID]],customers!$A$2:$A$1001,customers!$I$2:$I$1001,,0)</f>
        <v>No</v>
      </c>
    </row>
    <row r="31" spans="1:16" x14ac:dyDescent="0.3">
      <c r="A31" s="2" t="s">
        <v>655</v>
      </c>
      <c r="B31" s="6">
        <v>43516</v>
      </c>
      <c r="C31" s="2" t="s">
        <v>656</v>
      </c>
      <c r="D31" t="s">
        <v>6147</v>
      </c>
      <c r="E31" s="2">
        <v>4</v>
      </c>
      <c r="F31" s="2" t="str">
        <f>_xlfn.XLOOKUP(C31,customers!$A$1:$A$1001,customers!$B$1:$B$1001,,0,1)</f>
        <v>Mozelle Calcutt</v>
      </c>
      <c r="G31" s="2" t="str">
        <f>IF((_xlfn.XLOOKUP(C31,customers!$A$2:$A$1001,customers!$C$2:$C$1001,,,)=0),"",(_xlfn.XLOOKUP(C31,customers!$A$2:$A$1001,customers!$C$2:$C$1001,,0,)))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t="str" cm="1">
        <f t="array" ref="N31">_xlfn.IFS(I31="rob","Robusta",I31="exc","Excesla",I31="ara","Arabica",I31="lib","Liberica")</f>
        <v>Arabica</v>
      </c>
      <c r="O31" t="str" cm="1">
        <f t="array" ref="O31">_xlfn.IFS(J31="m","Medium",J31="l","Light",J31="d","Dark")</f>
        <v>Dark</v>
      </c>
      <c r="P31" t="str">
        <f>_xlfn.XLOOKUP(orders[[#This Row],[Customer ID]],customers!$A$2:$A$1001,customers!$I$2:$I$1001,,0)</f>
        <v>Yes</v>
      </c>
    </row>
    <row r="32" spans="1:16" x14ac:dyDescent="0.3">
      <c r="A32" s="2" t="s">
        <v>661</v>
      </c>
      <c r="B32" s="6">
        <v>44464</v>
      </c>
      <c r="C32" s="2" t="s">
        <v>662</v>
      </c>
      <c r="D32" t="s">
        <v>6159</v>
      </c>
      <c r="E32" s="2">
        <v>5</v>
      </c>
      <c r="F32" s="2" t="str">
        <f>_xlfn.XLOOKUP(C32,customers!$A$1:$A$1001,customers!$B$1:$B$1001,,0,1)</f>
        <v>Adrian Swaine</v>
      </c>
      <c r="G32" s="2" t="str">
        <f>IF((_xlfn.XLOOKUP(C32,customers!$A$2:$A$1001,customers!$C$2:$C$1001,,,)=0),"",(_xlfn.XLOOKUP(C32,customers!$A$2:$A$1001,customers!$C$2:$C$1001,,0,)))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t="str" cm="1">
        <f t="array" ref="N32">_xlfn.IFS(I32="rob","Robusta",I32="exc","Excesla",I32="ara","Arabica",I32="lib","Liberica")</f>
        <v>Liberica</v>
      </c>
      <c r="O32" t="str" cm="1">
        <f t="array" ref="O32">_xlfn.IFS(J32="m","Medium",J32="l","Light",J32="d","Dark")</f>
        <v>Medium</v>
      </c>
      <c r="P32" t="str">
        <f>_xlfn.XLOOKUP(orders[[#This Row],[Customer ID]],customers!$A$2:$A$1001,customers!$I$2:$I$1001,,0)</f>
        <v>No</v>
      </c>
    </row>
    <row r="33" spans="1:16" x14ac:dyDescent="0.3">
      <c r="A33" s="2" t="s">
        <v>661</v>
      </c>
      <c r="B33" s="6">
        <v>44464</v>
      </c>
      <c r="C33" s="2" t="s">
        <v>662</v>
      </c>
      <c r="D33" t="s">
        <v>6158</v>
      </c>
      <c r="E33" s="2">
        <v>6</v>
      </c>
      <c r="F33" s="2" t="str">
        <f>_xlfn.XLOOKUP(C33,customers!$A$1:$A$1001,customers!$B$1:$B$1001,,0,1)</f>
        <v>Adrian Swaine</v>
      </c>
      <c r="G33" s="2" t="str">
        <f>IF((_xlfn.XLOOKUP(C33,customers!$A$2:$A$1001,customers!$C$2:$C$1001,,,)=0),"",(_xlfn.XLOOKUP(C33,customers!$A$2:$A$1001,customers!$C$2:$C$1001,,0,)))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t="str" cm="1">
        <f t="array" ref="N33">_xlfn.IFS(I33="rob","Robusta",I33="exc","Excesla",I33="ara","Arabica",I33="lib","Liberica")</f>
        <v>Arabica</v>
      </c>
      <c r="O33" t="str" cm="1">
        <f t="array" ref="O33">_xlfn.IFS(J33="m","Medium",J33="l","Light",J33="d","Dark")</f>
        <v>Dark</v>
      </c>
      <c r="P33" t="str">
        <f>_xlfn.XLOOKUP(orders[[#This Row],[Customer ID]],customers!$A$2:$A$1001,customers!$I$2:$I$1001,,0)</f>
        <v>No</v>
      </c>
    </row>
    <row r="34" spans="1:16" x14ac:dyDescent="0.3">
      <c r="A34" s="2" t="s">
        <v>661</v>
      </c>
      <c r="B34" s="6">
        <v>44464</v>
      </c>
      <c r="C34" s="2" t="s">
        <v>662</v>
      </c>
      <c r="D34" t="s">
        <v>6160</v>
      </c>
      <c r="E34" s="2">
        <v>6</v>
      </c>
      <c r="F34" s="2" t="str">
        <f>_xlfn.XLOOKUP(C34,customers!$A$1:$A$1001,customers!$B$1:$B$1001,,0,1)</f>
        <v>Adrian Swaine</v>
      </c>
      <c r="G34" s="2" t="str">
        <f>IF((_xlfn.XLOOKUP(C34,customers!$A$2:$A$1001,customers!$C$2:$C$1001,,,)=0),"",(_xlfn.XLOOKUP(C34,customers!$A$2:$A$1001,customers!$C$2:$C$1001,,0,)))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t="str" cm="1">
        <f t="array" ref="N34">_xlfn.IFS(I34="rob","Robusta",I34="exc","Excesla",I34="ara","Arabica",I34="lib","Liberica")</f>
        <v>Liberica</v>
      </c>
      <c r="O34" t="str" cm="1">
        <f t="array" ref="O34">_xlfn.IFS(J34="m","Medium",J34="l","Light",J34="d","Dark")</f>
        <v>Medium</v>
      </c>
      <c r="P34" t="str">
        <f>_xlfn.XLOOKUP(orders[[#This Row],[Customer ID]],customers!$A$2:$A$1001,customers!$I$2:$I$1001,,0)</f>
        <v>No</v>
      </c>
    </row>
    <row r="35" spans="1:16" x14ac:dyDescent="0.3">
      <c r="A35" s="2" t="s">
        <v>676</v>
      </c>
      <c r="B35" s="6">
        <v>44394</v>
      </c>
      <c r="C35" s="2" t="s">
        <v>677</v>
      </c>
      <c r="D35" t="s">
        <v>6145</v>
      </c>
      <c r="E35" s="2">
        <v>5</v>
      </c>
      <c r="F35" s="2" t="str">
        <f>_xlfn.XLOOKUP(C35,customers!$A$1:$A$1001,customers!$B$1:$B$1001,,0,1)</f>
        <v>Gallard Gatheral</v>
      </c>
      <c r="G35" s="2" t="str">
        <f>IF((_xlfn.XLOOKUP(C35,customers!$A$2:$A$1001,customers!$C$2:$C$1001,,,)=0),"",(_xlfn.XLOOKUP(C35,customers!$A$2:$A$1001,customers!$C$2:$C$1001,,0,)))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t="str" cm="1">
        <f t="array" ref="N35">_xlfn.IFS(I35="rob","Robusta",I35="exc","Excesla",I35="ara","Arabica",I35="lib","Liberica")</f>
        <v>Liberica</v>
      </c>
      <c r="O35" t="str" cm="1">
        <f t="array" ref="O35">_xlfn.IFS(J35="m","Medium",J35="l","Light",J35="d","Dark")</f>
        <v>Light</v>
      </c>
      <c r="P35" t="str">
        <f>_xlfn.XLOOKUP(orders[[#This Row],[Customer ID]],customers!$A$2:$A$1001,customers!$I$2:$I$1001,,0)</f>
        <v>No</v>
      </c>
    </row>
    <row r="36" spans="1:16" x14ac:dyDescent="0.3">
      <c r="A36" s="2" t="s">
        <v>681</v>
      </c>
      <c r="B36" s="6">
        <v>44011</v>
      </c>
      <c r="C36" s="2" t="s">
        <v>682</v>
      </c>
      <c r="D36" t="s">
        <v>6161</v>
      </c>
      <c r="E36" s="2">
        <v>6</v>
      </c>
      <c r="F36" s="2" t="str">
        <f>_xlfn.XLOOKUP(C36,customers!$A$1:$A$1001,customers!$B$1:$B$1001,,0,1)</f>
        <v>Una Welberry</v>
      </c>
      <c r="G36" s="2" t="str">
        <f>IF((_xlfn.XLOOKUP(C36,customers!$A$2:$A$1001,customers!$C$2:$C$1001,,,)=0),"",(_xlfn.XLOOKUP(C36,customers!$A$2:$A$1001,customers!$C$2:$C$1001,,0,)))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t="str" cm="1">
        <f t="array" ref="N36">_xlfn.IFS(I36="rob","Robusta",I36="exc","Excesla",I36="ara","Arabica",I36="lib","Liberica")</f>
        <v>Liberica</v>
      </c>
      <c r="O36" t="str" cm="1">
        <f t="array" ref="O36">_xlfn.IFS(J36="m","Medium",J36="l","Light",J36="d","Dark")</f>
        <v>Light</v>
      </c>
      <c r="P36" t="str">
        <f>_xlfn.XLOOKUP(orders[[#This Row],[Customer ID]],customers!$A$2:$A$1001,customers!$I$2:$I$1001,,0)</f>
        <v>Yes</v>
      </c>
    </row>
    <row r="37" spans="1:16" x14ac:dyDescent="0.3">
      <c r="A37" s="2" t="s">
        <v>687</v>
      </c>
      <c r="B37" s="6">
        <v>44348</v>
      </c>
      <c r="C37" s="2" t="s">
        <v>688</v>
      </c>
      <c r="D37" t="s">
        <v>6158</v>
      </c>
      <c r="E37" s="2">
        <v>6</v>
      </c>
      <c r="F37" s="2" t="str">
        <f>_xlfn.XLOOKUP(C37,customers!$A$1:$A$1001,customers!$B$1:$B$1001,,0,1)</f>
        <v>Faber Eilhart</v>
      </c>
      <c r="G37" s="2" t="str">
        <f>IF((_xlfn.XLOOKUP(C37,customers!$A$2:$A$1001,customers!$C$2:$C$1001,,,)=0),"",(_xlfn.XLOOKUP(C37,customers!$A$2:$A$1001,customers!$C$2:$C$1001,,0,)))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t="str" cm="1">
        <f t="array" ref="N37">_xlfn.IFS(I37="rob","Robusta",I37="exc","Excesla",I37="ara","Arabica",I37="lib","Liberica")</f>
        <v>Arabica</v>
      </c>
      <c r="O37" t="str" cm="1">
        <f t="array" ref="O37">_xlfn.IFS(J37="m","Medium",J37="l","Light",J37="d","Dark")</f>
        <v>Dark</v>
      </c>
      <c r="P37" t="str">
        <f>_xlfn.XLOOKUP(orders[[#This Row],[Customer ID]],customers!$A$2:$A$1001,customers!$I$2:$I$1001,,0)</f>
        <v>No</v>
      </c>
    </row>
    <row r="38" spans="1:16" x14ac:dyDescent="0.3">
      <c r="A38" s="2" t="s">
        <v>693</v>
      </c>
      <c r="B38" s="6">
        <v>44233</v>
      </c>
      <c r="C38" s="2" t="s">
        <v>694</v>
      </c>
      <c r="D38" t="s">
        <v>6159</v>
      </c>
      <c r="E38" s="2">
        <v>2</v>
      </c>
      <c r="F38" s="2" t="str">
        <f>_xlfn.XLOOKUP(C38,customers!$A$1:$A$1001,customers!$B$1:$B$1001,,0,1)</f>
        <v>Zorina Ponting</v>
      </c>
      <c r="G38" s="2" t="str">
        <f>IF((_xlfn.XLOOKUP(C38,customers!$A$2:$A$1001,customers!$C$2:$C$1001,,,)=0),"",(_xlfn.XLOOKUP(C38,customers!$A$2:$A$1001,customers!$C$2:$C$1001,,0,)))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t="str" cm="1">
        <f t="array" ref="N38">_xlfn.IFS(I38="rob","Robusta",I38="exc","Excesla",I38="ara","Arabica",I38="lib","Liberica")</f>
        <v>Liberica</v>
      </c>
      <c r="O38" t="str" cm="1">
        <f t="array" ref="O38">_xlfn.IFS(J38="m","Medium",J38="l","Light",J38="d","Dark")</f>
        <v>Medium</v>
      </c>
      <c r="P38" t="str">
        <f>_xlfn.XLOOKUP(orders[[#This Row],[Customer ID]],customers!$A$2:$A$1001,customers!$I$2:$I$1001,,0)</f>
        <v>No</v>
      </c>
    </row>
    <row r="39" spans="1:16" x14ac:dyDescent="0.3">
      <c r="A39" s="2" t="s">
        <v>699</v>
      </c>
      <c r="B39" s="6">
        <v>43580</v>
      </c>
      <c r="C39" s="2" t="s">
        <v>700</v>
      </c>
      <c r="D39" t="s">
        <v>6161</v>
      </c>
      <c r="E39" s="2">
        <v>3</v>
      </c>
      <c r="F39" s="2" t="str">
        <f>_xlfn.XLOOKUP(C39,customers!$A$1:$A$1001,customers!$B$1:$B$1001,,0,1)</f>
        <v>Silvio Strase</v>
      </c>
      <c r="G39" s="2" t="str">
        <f>IF((_xlfn.XLOOKUP(C39,customers!$A$2:$A$1001,customers!$C$2:$C$1001,,,)=0),"",(_xlfn.XLOOKUP(C39,customers!$A$2:$A$1001,customers!$C$2:$C$1001,,0,)))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t="str" cm="1">
        <f t="array" ref="N39">_xlfn.IFS(I39="rob","Robusta",I39="exc","Excesla",I39="ara","Arabica",I39="lib","Liberica")</f>
        <v>Liberica</v>
      </c>
      <c r="O39" t="str" cm="1">
        <f t="array" ref="O39">_xlfn.IFS(J39="m","Medium",J39="l","Light",J39="d","Dark")</f>
        <v>Light</v>
      </c>
      <c r="P39" t="str">
        <f>_xlfn.XLOOKUP(orders[[#This Row],[Customer ID]],customers!$A$2:$A$1001,customers!$I$2:$I$1001,,0)</f>
        <v>No</v>
      </c>
    </row>
    <row r="40" spans="1:16" x14ac:dyDescent="0.3">
      <c r="A40" s="2" t="s">
        <v>705</v>
      </c>
      <c r="B40" s="6">
        <v>43946</v>
      </c>
      <c r="C40" s="2" t="s">
        <v>706</v>
      </c>
      <c r="D40" t="s">
        <v>6151</v>
      </c>
      <c r="E40" s="2">
        <v>5</v>
      </c>
      <c r="F40" s="2" t="str">
        <f>_xlfn.XLOOKUP(C40,customers!$A$1:$A$1001,customers!$B$1:$B$1001,,0,1)</f>
        <v>Dorie de la Tremoille</v>
      </c>
      <c r="G40" s="2" t="str">
        <f>IF((_xlfn.XLOOKUP(C40,customers!$A$2:$A$1001,customers!$C$2:$C$1001,,,)=0),"",(_xlfn.XLOOKUP(C40,customers!$A$2:$A$1001,customers!$C$2:$C$1001,,0,)))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t="str" cm="1">
        <f t="array" ref="N40">_xlfn.IFS(I40="rob","Robusta",I40="exc","Excesla",I40="ara","Arabica",I40="lib","Liberica")</f>
        <v>Robusta</v>
      </c>
      <c r="O40" t="str" cm="1">
        <f t="array" ref="O40">_xlfn.IFS(J40="m","Medium",J40="l","Light",J40="d","Dark")</f>
        <v>Medium</v>
      </c>
      <c r="P40" t="str">
        <f>_xlfn.XLOOKUP(orders[[#This Row],[Customer ID]],customers!$A$2:$A$1001,customers!$I$2:$I$1001,,0)</f>
        <v>No</v>
      </c>
    </row>
    <row r="41" spans="1:16" x14ac:dyDescent="0.3">
      <c r="A41" s="2" t="s">
        <v>711</v>
      </c>
      <c r="B41" s="6">
        <v>44524</v>
      </c>
      <c r="C41" s="2" t="s">
        <v>712</v>
      </c>
      <c r="D41" t="s">
        <v>6138</v>
      </c>
      <c r="E41" s="2">
        <v>6</v>
      </c>
      <c r="F41" s="2" t="str">
        <f>_xlfn.XLOOKUP(C41,customers!$A$1:$A$1001,customers!$B$1:$B$1001,,0,1)</f>
        <v>Hy Zanetto</v>
      </c>
      <c r="G41" s="2" t="str">
        <f>IF((_xlfn.XLOOKUP(C41,customers!$A$2:$A$1001,customers!$C$2:$C$1001,,,)=0),"",(_xlfn.XLOOKUP(C41,customers!$A$2:$A$1001,customers!$C$2:$C$1001,,0,)))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t="str" cm="1">
        <f t="array" ref="N41">_xlfn.IFS(I41="rob","Robusta",I41="exc","Excesla",I41="ara","Arabica",I41="lib","Liberica")</f>
        <v>Robusta</v>
      </c>
      <c r="O41" t="str" cm="1">
        <f t="array" ref="O41">_xlfn.IFS(J41="m","Medium",J41="l","Light",J41="d","Dark")</f>
        <v>Medium</v>
      </c>
      <c r="P41" t="str">
        <f>_xlfn.XLOOKUP(orders[[#This Row],[Customer ID]],customers!$A$2:$A$1001,customers!$I$2:$I$1001,,0)</f>
        <v>Yes</v>
      </c>
    </row>
    <row r="42" spans="1:16" x14ac:dyDescent="0.3">
      <c r="A42" s="2" t="s">
        <v>715</v>
      </c>
      <c r="B42" s="6">
        <v>44305</v>
      </c>
      <c r="C42" s="2" t="s">
        <v>716</v>
      </c>
      <c r="D42" t="s">
        <v>6162</v>
      </c>
      <c r="E42" s="2">
        <v>3</v>
      </c>
      <c r="F42" s="2" t="str">
        <f>_xlfn.XLOOKUP(C42,customers!$A$1:$A$1001,customers!$B$1:$B$1001,,0,1)</f>
        <v>Jessica McNess</v>
      </c>
      <c r="G42" s="2" t="str">
        <f>IF((_xlfn.XLOOKUP(C42,customers!$A$2:$A$1001,customers!$C$2:$C$1001,,,)=0),"",(_xlfn.XLOOKUP(C42,customers!$A$2:$A$1001,customers!$C$2:$C$1001,,0,)))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t="str" cm="1">
        <f t="array" ref="N42">_xlfn.IFS(I42="rob","Robusta",I42="exc","Excesla",I42="ara","Arabica",I42="lib","Liberica")</f>
        <v>Liberica</v>
      </c>
      <c r="O42" t="str" cm="1">
        <f t="array" ref="O42">_xlfn.IFS(J42="m","Medium",J42="l","Light",J42="d","Dark")</f>
        <v>Medium</v>
      </c>
      <c r="P42" t="str">
        <f>_xlfn.XLOOKUP(orders[[#This Row],[Customer ID]],customers!$A$2:$A$1001,customers!$I$2:$I$1001,,0)</f>
        <v>No</v>
      </c>
    </row>
    <row r="43" spans="1:16" x14ac:dyDescent="0.3">
      <c r="A43" s="2" t="s">
        <v>720</v>
      </c>
      <c r="B43" s="6">
        <v>44749</v>
      </c>
      <c r="C43" s="2" t="s">
        <v>721</v>
      </c>
      <c r="D43" t="s">
        <v>6153</v>
      </c>
      <c r="E43" s="2">
        <v>2</v>
      </c>
      <c r="F43" s="2" t="str">
        <f>_xlfn.XLOOKUP(C43,customers!$A$1:$A$1001,customers!$B$1:$B$1001,,0,1)</f>
        <v>Lorenzo Yeoland</v>
      </c>
      <c r="G43" s="2" t="str">
        <f>IF((_xlfn.XLOOKUP(C43,customers!$A$2:$A$1001,customers!$C$2:$C$1001,,,)=0),"",(_xlfn.XLOOKUP(C43,customers!$A$2:$A$1001,customers!$C$2:$C$1001,,0,)))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t="str" cm="1">
        <f t="array" ref="N43">_xlfn.IFS(I43="rob","Robusta",I43="exc","Excesla",I43="ara","Arabica",I43="lib","Liberica")</f>
        <v>Excesla</v>
      </c>
      <c r="O43" t="str" cm="1">
        <f t="array" ref="O43">_xlfn.IFS(J43="m","Medium",J43="l","Light",J43="d","Dark")</f>
        <v>Dark</v>
      </c>
      <c r="P43" t="str">
        <f>_xlfn.XLOOKUP(orders[[#This Row],[Customer ID]],customers!$A$2:$A$1001,customers!$I$2:$I$1001,,0)</f>
        <v>Yes</v>
      </c>
    </row>
    <row r="44" spans="1:16" x14ac:dyDescent="0.3">
      <c r="A44" s="2" t="s">
        <v>726</v>
      </c>
      <c r="B44" s="6">
        <v>43607</v>
      </c>
      <c r="C44" s="2" t="s">
        <v>727</v>
      </c>
      <c r="D44" t="s">
        <v>6163</v>
      </c>
      <c r="E44" s="2">
        <v>3</v>
      </c>
      <c r="F44" s="2" t="str">
        <f>_xlfn.XLOOKUP(C44,customers!$A$1:$A$1001,customers!$B$1:$B$1001,,0,1)</f>
        <v>Abigail Tolworthy</v>
      </c>
      <c r="G44" s="2" t="str">
        <f>IF((_xlfn.XLOOKUP(C44,customers!$A$2:$A$1001,customers!$C$2:$C$1001,,,)=0),"",(_xlfn.XLOOKUP(C44,customers!$A$2:$A$1001,customers!$C$2:$C$1001,,0,)))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t="str" cm="1">
        <f t="array" ref="N44">_xlfn.IFS(I44="rob","Robusta",I44="exc","Excesla",I44="ara","Arabica",I44="lib","Liberica")</f>
        <v>Robusta</v>
      </c>
      <c r="O44" t="str" cm="1">
        <f t="array" ref="O44">_xlfn.IFS(J44="m","Medium",J44="l","Light",J44="d","Dark")</f>
        <v>Dark</v>
      </c>
      <c r="P44" t="str">
        <f>_xlfn.XLOOKUP(orders[[#This Row],[Customer ID]],customers!$A$2:$A$1001,customers!$I$2:$I$1001,,0)</f>
        <v>Yes</v>
      </c>
    </row>
    <row r="45" spans="1:16" x14ac:dyDescent="0.3">
      <c r="A45" s="2" t="s">
        <v>733</v>
      </c>
      <c r="B45" s="6">
        <v>44473</v>
      </c>
      <c r="C45" s="2" t="s">
        <v>734</v>
      </c>
      <c r="D45" t="s">
        <v>6164</v>
      </c>
      <c r="E45" s="2">
        <v>2</v>
      </c>
      <c r="F45" s="2" t="str">
        <f>_xlfn.XLOOKUP(C45,customers!$A$1:$A$1001,customers!$B$1:$B$1001,,0,1)</f>
        <v>Maurie Bartol</v>
      </c>
      <c r="G45" s="2" t="str">
        <f>IF((_xlfn.XLOOKUP(C45,customers!$A$2:$A$1001,customers!$C$2:$C$1001,,,)=0),"",(_xlfn.XLOOKUP(C45,customers!$A$2:$A$1001,customers!$C$2:$C$1001,,0,)))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t="str" cm="1">
        <f t="array" ref="N45">_xlfn.IFS(I45="rob","Robusta",I45="exc","Excesla",I45="ara","Arabica",I45="lib","Liberica")</f>
        <v>Liberica</v>
      </c>
      <c r="O45" t="str" cm="1">
        <f t="array" ref="O45">_xlfn.IFS(J45="m","Medium",J45="l","Light",J45="d","Dark")</f>
        <v>Light</v>
      </c>
      <c r="P45" t="str">
        <f>_xlfn.XLOOKUP(orders[[#This Row],[Customer ID]],customers!$A$2:$A$1001,customers!$I$2:$I$1001,,0)</f>
        <v>No</v>
      </c>
    </row>
    <row r="46" spans="1:16" x14ac:dyDescent="0.3">
      <c r="A46" s="2" t="s">
        <v>738</v>
      </c>
      <c r="B46" s="6">
        <v>43932</v>
      </c>
      <c r="C46" s="2" t="s">
        <v>739</v>
      </c>
      <c r="D46" t="s">
        <v>6139</v>
      </c>
      <c r="E46" s="2">
        <v>2</v>
      </c>
      <c r="F46" s="2" t="str">
        <f>_xlfn.XLOOKUP(C46,customers!$A$1:$A$1001,customers!$B$1:$B$1001,,0,1)</f>
        <v>Olag Baudassi</v>
      </c>
      <c r="G46" s="2" t="str">
        <f>IF((_xlfn.XLOOKUP(C46,customers!$A$2:$A$1001,customers!$C$2:$C$1001,,,)=0),"",(_xlfn.XLOOKUP(C46,customers!$A$2:$A$1001,customers!$C$2:$C$1001,,0,)))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t="str" cm="1">
        <f t="array" ref="N46">_xlfn.IFS(I46="rob","Robusta",I46="exc","Excesla",I46="ara","Arabica",I46="lib","Liberica")</f>
        <v>Excesla</v>
      </c>
      <c r="O46" t="str" cm="1">
        <f t="array" ref="O46">_xlfn.IFS(J46="m","Medium",J46="l","Light",J46="d","Dark")</f>
        <v>Medium</v>
      </c>
      <c r="P46" t="str">
        <f>_xlfn.XLOOKUP(orders[[#This Row],[Customer ID]],customers!$A$2:$A$1001,customers!$I$2:$I$1001,,0)</f>
        <v>Yes</v>
      </c>
    </row>
    <row r="47" spans="1:16" x14ac:dyDescent="0.3">
      <c r="A47" s="2" t="s">
        <v>744</v>
      </c>
      <c r="B47" s="6">
        <v>44592</v>
      </c>
      <c r="C47" s="2" t="s">
        <v>745</v>
      </c>
      <c r="D47" t="s">
        <v>6165</v>
      </c>
      <c r="E47" s="2">
        <v>6</v>
      </c>
      <c r="F47" s="2" t="str">
        <f>_xlfn.XLOOKUP(C47,customers!$A$1:$A$1001,customers!$B$1:$B$1001,,0,1)</f>
        <v>Petey Kingsbury</v>
      </c>
      <c r="G47" s="2" t="str">
        <f>IF((_xlfn.XLOOKUP(C47,customers!$A$2:$A$1001,customers!$C$2:$C$1001,,,)=0),"",(_xlfn.XLOOKUP(C47,customers!$A$2:$A$1001,customers!$C$2:$C$1001,,0,)))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t="str" cm="1">
        <f t="array" ref="N47">_xlfn.IFS(I47="rob","Robusta",I47="exc","Excesla",I47="ara","Arabica",I47="lib","Liberica")</f>
        <v>Liberica</v>
      </c>
      <c r="O47" t="str" cm="1">
        <f t="array" ref="O47">_xlfn.IFS(J47="m","Medium",J47="l","Light",J47="d","Dark")</f>
        <v>Dark</v>
      </c>
      <c r="P47" t="str">
        <f>_xlfn.XLOOKUP(orders[[#This Row],[Customer ID]],customers!$A$2:$A$1001,customers!$I$2:$I$1001,,0)</f>
        <v>No</v>
      </c>
    </row>
    <row r="48" spans="1:16" x14ac:dyDescent="0.3">
      <c r="A48" s="2" t="s">
        <v>750</v>
      </c>
      <c r="B48" s="6">
        <v>43776</v>
      </c>
      <c r="C48" s="2" t="s">
        <v>751</v>
      </c>
      <c r="D48" t="s">
        <v>6166</v>
      </c>
      <c r="E48" s="2">
        <v>2</v>
      </c>
      <c r="F48" s="2" t="str">
        <f>_xlfn.XLOOKUP(C48,customers!$A$1:$A$1001,customers!$B$1:$B$1001,,0,1)</f>
        <v>Donna Baskeyfied</v>
      </c>
      <c r="G48" s="2" t="str">
        <f>IF((_xlfn.XLOOKUP(C48,customers!$A$2:$A$1001,customers!$C$2:$C$1001,,,)=0),"",(_xlfn.XLOOKUP(C48,customers!$A$2:$A$1001,customers!$C$2:$C$1001,,0,)))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t="str" cm="1">
        <f t="array" ref="N48">_xlfn.IFS(I48="rob","Robusta",I48="exc","Excesla",I48="ara","Arabica",I48="lib","Liberica")</f>
        <v>Excesla</v>
      </c>
      <c r="O48" t="str" cm="1">
        <f t="array" ref="O48">_xlfn.IFS(J48="m","Medium",J48="l","Light",J48="d","Dark")</f>
        <v>Medium</v>
      </c>
      <c r="P48" t="str">
        <f>_xlfn.XLOOKUP(orders[[#This Row],[Customer ID]],customers!$A$2:$A$1001,customers!$I$2:$I$1001,,0)</f>
        <v>Yes</v>
      </c>
    </row>
    <row r="49" spans="1:16" x14ac:dyDescent="0.3">
      <c r="A49" s="2" t="s">
        <v>755</v>
      </c>
      <c r="B49" s="6">
        <v>43644</v>
      </c>
      <c r="C49" s="2" t="s">
        <v>756</v>
      </c>
      <c r="D49" t="s">
        <v>6167</v>
      </c>
      <c r="E49" s="2">
        <v>2</v>
      </c>
      <c r="F49" s="2" t="str">
        <f>_xlfn.XLOOKUP(C49,customers!$A$1:$A$1001,customers!$B$1:$B$1001,,0,1)</f>
        <v>Arda Curley</v>
      </c>
      <c r="G49" s="2" t="str">
        <f>IF((_xlfn.XLOOKUP(C49,customers!$A$2:$A$1001,customers!$C$2:$C$1001,,,)=0),"",(_xlfn.XLOOKUP(C49,customers!$A$2:$A$1001,customers!$C$2:$C$1001,,0,)))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t="str" cm="1">
        <f t="array" ref="N49">_xlfn.IFS(I49="rob","Robusta",I49="exc","Excesla",I49="ara","Arabica",I49="lib","Liberica")</f>
        <v>Arabica</v>
      </c>
      <c r="O49" t="str" cm="1">
        <f t="array" ref="O49">_xlfn.IFS(J49="m","Medium",J49="l","Light",J49="d","Dark")</f>
        <v>Light</v>
      </c>
      <c r="P49" t="str">
        <f>_xlfn.XLOOKUP(orders[[#This Row],[Customer ID]],customers!$A$2:$A$1001,customers!$I$2:$I$1001,,0)</f>
        <v>Yes</v>
      </c>
    </row>
    <row r="50" spans="1:16" x14ac:dyDescent="0.3">
      <c r="A50" s="2" t="s">
        <v>761</v>
      </c>
      <c r="B50" s="6">
        <v>44085</v>
      </c>
      <c r="C50" s="2" t="s">
        <v>762</v>
      </c>
      <c r="D50" t="s">
        <v>6168</v>
      </c>
      <c r="E50" s="2">
        <v>4</v>
      </c>
      <c r="F50" s="2" t="str">
        <f>_xlfn.XLOOKUP(C50,customers!$A$1:$A$1001,customers!$B$1:$B$1001,,0,1)</f>
        <v>Raynor McGilvary</v>
      </c>
      <c r="G50" s="2" t="str">
        <f>IF((_xlfn.XLOOKUP(C50,customers!$A$2:$A$1001,customers!$C$2:$C$1001,,,)=0),"",(_xlfn.XLOOKUP(C50,customers!$A$2:$A$1001,customers!$C$2:$C$1001,,0,)))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t="str" cm="1">
        <f t="array" ref="N50">_xlfn.IFS(I50="rob","Robusta",I50="exc","Excesla",I50="ara","Arabica",I50="lib","Liberica")</f>
        <v>Arabica</v>
      </c>
      <c r="O50" t="str" cm="1">
        <f t="array" ref="O50">_xlfn.IFS(J50="m","Medium",J50="l","Light",J50="d","Dark")</f>
        <v>Dark</v>
      </c>
      <c r="P50" t="str">
        <f>_xlfn.XLOOKUP(orders[[#This Row],[Customer ID]],customers!$A$2:$A$1001,customers!$I$2:$I$1001,,0)</f>
        <v>No</v>
      </c>
    </row>
    <row r="51" spans="1:16" x14ac:dyDescent="0.3">
      <c r="A51" s="2" t="s">
        <v>766</v>
      </c>
      <c r="B51" s="6">
        <v>44790</v>
      </c>
      <c r="C51" s="2" t="s">
        <v>767</v>
      </c>
      <c r="D51" t="s">
        <v>6140</v>
      </c>
      <c r="E51" s="2">
        <v>3</v>
      </c>
      <c r="F51" s="2" t="str">
        <f>_xlfn.XLOOKUP(C51,customers!$A$1:$A$1001,customers!$B$1:$B$1001,,0,1)</f>
        <v>Isis Pikett</v>
      </c>
      <c r="G51" s="2" t="str">
        <f>IF((_xlfn.XLOOKUP(C51,customers!$A$2:$A$1001,customers!$C$2:$C$1001,,,)=0),"",(_xlfn.XLOOKUP(C51,customers!$A$2:$A$1001,customers!$C$2:$C$1001,,0,)))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t="str" cm="1">
        <f t="array" ref="N51">_xlfn.IFS(I51="rob","Robusta",I51="exc","Excesla",I51="ara","Arabica",I51="lib","Liberica")</f>
        <v>Arabica</v>
      </c>
      <c r="O51" t="str" cm="1">
        <f t="array" ref="O51">_xlfn.IFS(J51="m","Medium",J51="l","Light",J51="d","Dark")</f>
        <v>Light</v>
      </c>
      <c r="P51" t="str">
        <f>_xlfn.XLOOKUP(orders[[#This Row],[Customer ID]],customers!$A$2:$A$1001,customers!$I$2:$I$1001,,0)</f>
        <v>No</v>
      </c>
    </row>
    <row r="52" spans="1:16" x14ac:dyDescent="0.3">
      <c r="A52" s="2" t="s">
        <v>772</v>
      </c>
      <c r="B52" s="6">
        <v>44792</v>
      </c>
      <c r="C52" s="2" t="s">
        <v>773</v>
      </c>
      <c r="D52" t="s">
        <v>6169</v>
      </c>
      <c r="E52" s="2">
        <v>2</v>
      </c>
      <c r="F52" s="2" t="str">
        <f>_xlfn.XLOOKUP(C52,customers!$A$1:$A$1001,customers!$B$1:$B$1001,,0,1)</f>
        <v>Inger Bouldon</v>
      </c>
      <c r="G52" s="2" t="str">
        <f>IF((_xlfn.XLOOKUP(C52,customers!$A$2:$A$1001,customers!$C$2:$C$1001,,,)=0),"",(_xlfn.XLOOKUP(C52,customers!$A$2:$A$1001,customers!$C$2:$C$1001,,0,)))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t="str" cm="1">
        <f t="array" ref="N52">_xlfn.IFS(I52="rob","Robusta",I52="exc","Excesla",I52="ara","Arabica",I52="lib","Liberica")</f>
        <v>Liberica</v>
      </c>
      <c r="O52" t="str" cm="1">
        <f t="array" ref="O52">_xlfn.IFS(J52="m","Medium",J52="l","Light",J52="d","Dark")</f>
        <v>Dark</v>
      </c>
      <c r="P52" t="str">
        <f>_xlfn.XLOOKUP(orders[[#This Row],[Customer ID]],customers!$A$2:$A$1001,customers!$I$2:$I$1001,,0)</f>
        <v>No</v>
      </c>
    </row>
    <row r="53" spans="1:16" x14ac:dyDescent="0.3">
      <c r="A53" s="2" t="s">
        <v>778</v>
      </c>
      <c r="B53" s="6">
        <v>43600</v>
      </c>
      <c r="C53" s="2" t="s">
        <v>779</v>
      </c>
      <c r="D53" t="s">
        <v>6164</v>
      </c>
      <c r="E53" s="2">
        <v>4</v>
      </c>
      <c r="F53" s="2" t="str">
        <f>_xlfn.XLOOKUP(C53,customers!$A$1:$A$1001,customers!$B$1:$B$1001,,0,1)</f>
        <v>Karry Flanders</v>
      </c>
      <c r="G53" s="2" t="str">
        <f>IF((_xlfn.XLOOKUP(C53,customers!$A$2:$A$1001,customers!$C$2:$C$1001,,,)=0),"",(_xlfn.XLOOKUP(C53,customers!$A$2:$A$1001,customers!$C$2:$C$1001,,0,)))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t="str" cm="1">
        <f t="array" ref="N53">_xlfn.IFS(I53="rob","Robusta",I53="exc","Excesla",I53="ara","Arabica",I53="lib","Liberica")</f>
        <v>Liberica</v>
      </c>
      <c r="O53" t="str" cm="1">
        <f t="array" ref="O53">_xlfn.IFS(J53="m","Medium",J53="l","Light",J53="d","Dark")</f>
        <v>Light</v>
      </c>
      <c r="P53" t="str">
        <f>_xlfn.XLOOKUP(orders[[#This Row],[Customer ID]],customers!$A$2:$A$1001,customers!$I$2:$I$1001,,0)</f>
        <v>Yes</v>
      </c>
    </row>
    <row r="54" spans="1:16" x14ac:dyDescent="0.3">
      <c r="A54" s="2" t="s">
        <v>784</v>
      </c>
      <c r="B54" s="6">
        <v>43719</v>
      </c>
      <c r="C54" s="2" t="s">
        <v>785</v>
      </c>
      <c r="D54" t="s">
        <v>6146</v>
      </c>
      <c r="E54" s="2">
        <v>5</v>
      </c>
      <c r="F54" s="2" t="str">
        <f>_xlfn.XLOOKUP(C54,customers!$A$1:$A$1001,customers!$B$1:$B$1001,,0,1)</f>
        <v>Hartley Mattioli</v>
      </c>
      <c r="G54" s="2" t="str">
        <f>IF((_xlfn.XLOOKUP(C54,customers!$A$2:$A$1001,customers!$C$2:$C$1001,,,)=0),"",(_xlfn.XLOOKUP(C54,customers!$A$2:$A$1001,customers!$C$2:$C$1001,,0,)))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t="str" cm="1">
        <f t="array" ref="N54">_xlfn.IFS(I54="rob","Robusta",I54="exc","Excesla",I54="ara","Arabica",I54="lib","Liberica")</f>
        <v>Robusta</v>
      </c>
      <c r="O54" t="str" cm="1">
        <f t="array" ref="O54">_xlfn.IFS(J54="m","Medium",J54="l","Light",J54="d","Dark")</f>
        <v>Medium</v>
      </c>
      <c r="P54" t="str">
        <f>_xlfn.XLOOKUP(orders[[#This Row],[Customer ID]],customers!$A$2:$A$1001,customers!$I$2:$I$1001,,0)</f>
        <v>No</v>
      </c>
    </row>
    <row r="55" spans="1:16" x14ac:dyDescent="0.3">
      <c r="A55" s="2" t="s">
        <v>784</v>
      </c>
      <c r="B55" s="6">
        <v>43719</v>
      </c>
      <c r="C55" s="2" t="s">
        <v>785</v>
      </c>
      <c r="D55" t="s">
        <v>6164</v>
      </c>
      <c r="E55" s="2">
        <v>2</v>
      </c>
      <c r="F55" s="2" t="str">
        <f>_xlfn.XLOOKUP(C55,customers!$A$1:$A$1001,customers!$B$1:$B$1001,,0,1)</f>
        <v>Hartley Mattioli</v>
      </c>
      <c r="G55" s="2" t="str">
        <f>IF((_xlfn.XLOOKUP(C55,customers!$A$2:$A$1001,customers!$C$2:$C$1001,,,)=0),"",(_xlfn.XLOOKUP(C55,customers!$A$2:$A$1001,customers!$C$2:$C$1001,,0,)))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t="str" cm="1">
        <f t="array" ref="N55">_xlfn.IFS(I55="rob","Robusta",I55="exc","Excesla",I55="ara","Arabica",I55="lib","Liberica")</f>
        <v>Liberica</v>
      </c>
      <c r="O55" t="str" cm="1">
        <f t="array" ref="O55">_xlfn.IFS(J55="m","Medium",J55="l","Light",J55="d","Dark")</f>
        <v>Light</v>
      </c>
      <c r="P55" t="str">
        <f>_xlfn.XLOOKUP(orders[[#This Row],[Customer ID]],customers!$A$2:$A$1001,customers!$I$2:$I$1001,,0)</f>
        <v>No</v>
      </c>
    </row>
    <row r="56" spans="1:16" x14ac:dyDescent="0.3">
      <c r="A56" s="2" t="s">
        <v>794</v>
      </c>
      <c r="B56" s="6">
        <v>44271</v>
      </c>
      <c r="C56" s="2" t="s">
        <v>795</v>
      </c>
      <c r="D56" t="s">
        <v>6162</v>
      </c>
      <c r="E56" s="2">
        <v>5</v>
      </c>
      <c r="F56" s="2" t="str">
        <f>_xlfn.XLOOKUP(C56,customers!$A$1:$A$1001,customers!$B$1:$B$1001,,0,1)</f>
        <v>Archambault Gillard</v>
      </c>
      <c r="G56" s="2" t="str">
        <f>IF((_xlfn.XLOOKUP(C56,customers!$A$2:$A$1001,customers!$C$2:$C$1001,,,)=0),"",(_xlfn.XLOOKUP(C56,customers!$A$2:$A$1001,customers!$C$2:$C$1001,,0,)))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t="str" cm="1">
        <f t="array" ref="N56">_xlfn.IFS(I56="rob","Robusta",I56="exc","Excesla",I56="ara","Arabica",I56="lib","Liberica")</f>
        <v>Liberica</v>
      </c>
      <c r="O56" t="str" cm="1">
        <f t="array" ref="O56">_xlfn.IFS(J56="m","Medium",J56="l","Light",J56="d","Dark")</f>
        <v>Medium</v>
      </c>
      <c r="P56" t="str">
        <f>_xlfn.XLOOKUP(orders[[#This Row],[Customer ID]],customers!$A$2:$A$1001,customers!$I$2:$I$1001,,0)</f>
        <v>No</v>
      </c>
    </row>
    <row r="57" spans="1:16" x14ac:dyDescent="0.3">
      <c r="A57" s="2" t="s">
        <v>800</v>
      </c>
      <c r="B57" s="6">
        <v>44168</v>
      </c>
      <c r="C57" s="2" t="s">
        <v>801</v>
      </c>
      <c r="D57" t="s">
        <v>6170</v>
      </c>
      <c r="E57" s="2">
        <v>3</v>
      </c>
      <c r="F57" s="2" t="str">
        <f>_xlfn.XLOOKUP(C57,customers!$A$1:$A$1001,customers!$B$1:$B$1001,,0,1)</f>
        <v>Salomo Cushworth</v>
      </c>
      <c r="G57" s="2" t="str">
        <f>IF((_xlfn.XLOOKUP(C57,customers!$A$2:$A$1001,customers!$C$2:$C$1001,,,)=0),"",(_xlfn.XLOOKUP(C57,customers!$A$2:$A$1001,customers!$C$2:$C$1001,,0,)))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t="str" cm="1">
        <f t="array" ref="N57">_xlfn.IFS(I57="rob","Robusta",I57="exc","Excesla",I57="ara","Arabica",I57="lib","Liberica")</f>
        <v>Liberica</v>
      </c>
      <c r="O57" t="str" cm="1">
        <f t="array" ref="O57">_xlfn.IFS(J57="m","Medium",J57="l","Light",J57="d","Dark")</f>
        <v>Light</v>
      </c>
      <c r="P57" t="str">
        <f>_xlfn.XLOOKUP(orders[[#This Row],[Customer ID]],customers!$A$2:$A$1001,customers!$I$2:$I$1001,,0)</f>
        <v>No</v>
      </c>
    </row>
    <row r="58" spans="1:16" x14ac:dyDescent="0.3">
      <c r="A58" s="2" t="s">
        <v>805</v>
      </c>
      <c r="B58" s="6">
        <v>43857</v>
      </c>
      <c r="C58" s="2" t="s">
        <v>806</v>
      </c>
      <c r="D58" t="s">
        <v>6153</v>
      </c>
      <c r="E58" s="2">
        <v>3</v>
      </c>
      <c r="F58" s="2" t="str">
        <f>_xlfn.XLOOKUP(C58,customers!$A$1:$A$1001,customers!$B$1:$B$1001,,0,1)</f>
        <v>Theda Grizard</v>
      </c>
      <c r="G58" s="2" t="str">
        <f>IF((_xlfn.XLOOKUP(C58,customers!$A$2:$A$1001,customers!$C$2:$C$1001,,,)=0),"",(_xlfn.XLOOKUP(C58,customers!$A$2:$A$1001,customers!$C$2:$C$1001,,0,)))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t="str" cm="1">
        <f t="array" ref="N58">_xlfn.IFS(I58="rob","Robusta",I58="exc","Excesla",I58="ara","Arabica",I58="lib","Liberica")</f>
        <v>Excesla</v>
      </c>
      <c r="O58" t="str" cm="1">
        <f t="array" ref="O58">_xlfn.IFS(J58="m","Medium",J58="l","Light",J58="d","Dark")</f>
        <v>Dark</v>
      </c>
      <c r="P58" t="str">
        <f>_xlfn.XLOOKUP(orders[[#This Row],[Customer ID]],customers!$A$2:$A$1001,customers!$I$2:$I$1001,,0)</f>
        <v>Yes</v>
      </c>
    </row>
    <row r="59" spans="1:16" x14ac:dyDescent="0.3">
      <c r="A59" s="2" t="s">
        <v>811</v>
      </c>
      <c r="B59" s="6">
        <v>44759</v>
      </c>
      <c r="C59" s="2" t="s">
        <v>812</v>
      </c>
      <c r="D59" t="s">
        <v>6171</v>
      </c>
      <c r="E59" s="2">
        <v>4</v>
      </c>
      <c r="F59" s="2" t="str">
        <f>_xlfn.XLOOKUP(C59,customers!$A$1:$A$1001,customers!$B$1:$B$1001,,0,1)</f>
        <v>Rozele Relton</v>
      </c>
      <c r="G59" s="2" t="str">
        <f>IF((_xlfn.XLOOKUP(C59,customers!$A$2:$A$1001,customers!$C$2:$C$1001,,,)=0),"",(_xlfn.XLOOKUP(C59,customers!$A$2:$A$1001,customers!$C$2:$C$1001,,0,)))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t="str" cm="1">
        <f t="array" ref="N59">_xlfn.IFS(I59="rob","Robusta",I59="exc","Excesla",I59="ara","Arabica",I59="lib","Liberica")</f>
        <v>Excesla</v>
      </c>
      <c r="O59" t="str" cm="1">
        <f t="array" ref="O59">_xlfn.IFS(J59="m","Medium",J59="l","Light",J59="d","Dark")</f>
        <v>Light</v>
      </c>
      <c r="P59" t="str">
        <f>_xlfn.XLOOKUP(orders[[#This Row],[Customer ID]],customers!$A$2:$A$1001,customers!$I$2:$I$1001,,0)</f>
        <v>No</v>
      </c>
    </row>
    <row r="60" spans="1:16" x14ac:dyDescent="0.3">
      <c r="A60" s="2" t="s">
        <v>817</v>
      </c>
      <c r="B60" s="6">
        <v>44624</v>
      </c>
      <c r="C60" s="2" t="s">
        <v>818</v>
      </c>
      <c r="D60" t="s">
        <v>6165</v>
      </c>
      <c r="E60" s="2">
        <v>3</v>
      </c>
      <c r="F60" s="2" t="str">
        <f>_xlfn.XLOOKUP(C60,customers!$A$1:$A$1001,customers!$B$1:$B$1001,,0,1)</f>
        <v>Willa Rolling</v>
      </c>
      <c r="G60" s="2" t="str">
        <f>IF((_xlfn.XLOOKUP(C60,customers!$A$2:$A$1001,customers!$C$2:$C$1001,,,)=0),"",(_xlfn.XLOOKUP(C60,customers!$A$2:$A$1001,customers!$C$2:$C$1001,,0,)))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t="str" cm="1">
        <f t="array" ref="N60">_xlfn.IFS(I60="rob","Robusta",I60="exc","Excesla",I60="ara","Arabica",I60="lib","Liberica")</f>
        <v>Liberica</v>
      </c>
      <c r="O60" t="str" cm="1">
        <f t="array" ref="O60">_xlfn.IFS(J60="m","Medium",J60="l","Light",J60="d","Dark")</f>
        <v>Dark</v>
      </c>
      <c r="P60" t="str">
        <f>_xlfn.XLOOKUP(orders[[#This Row],[Customer ID]],customers!$A$2:$A$1001,customers!$I$2:$I$1001,,0)</f>
        <v>Yes</v>
      </c>
    </row>
    <row r="61" spans="1:16" x14ac:dyDescent="0.3">
      <c r="A61" s="2" t="s">
        <v>822</v>
      </c>
      <c r="B61" s="6">
        <v>44537</v>
      </c>
      <c r="C61" s="2" t="s">
        <v>823</v>
      </c>
      <c r="D61" t="s">
        <v>6160</v>
      </c>
      <c r="E61" s="2">
        <v>3</v>
      </c>
      <c r="F61" s="2" t="str">
        <f>_xlfn.XLOOKUP(C61,customers!$A$1:$A$1001,customers!$B$1:$B$1001,,0,1)</f>
        <v>Stanislaus Gilroy</v>
      </c>
      <c r="G61" s="2" t="str">
        <f>IF((_xlfn.XLOOKUP(C61,customers!$A$2:$A$1001,customers!$C$2:$C$1001,,,)=0),"",(_xlfn.XLOOKUP(C61,customers!$A$2:$A$1001,customers!$C$2:$C$1001,,0,)))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t="str" cm="1">
        <f t="array" ref="N61">_xlfn.IFS(I61="rob","Robusta",I61="exc","Excesla",I61="ara","Arabica",I61="lib","Liberica")</f>
        <v>Liberica</v>
      </c>
      <c r="O61" t="str" cm="1">
        <f t="array" ref="O61">_xlfn.IFS(J61="m","Medium",J61="l","Light",J61="d","Dark")</f>
        <v>Medium</v>
      </c>
      <c r="P61" t="str">
        <f>_xlfn.XLOOKUP(orders[[#This Row],[Customer ID]],customers!$A$2:$A$1001,customers!$I$2:$I$1001,,0)</f>
        <v>Yes</v>
      </c>
    </row>
    <row r="62" spans="1:16" x14ac:dyDescent="0.3">
      <c r="A62" s="2" t="s">
        <v>827</v>
      </c>
      <c r="B62" s="6">
        <v>44252</v>
      </c>
      <c r="C62" s="2" t="s">
        <v>828</v>
      </c>
      <c r="D62" t="s">
        <v>6168</v>
      </c>
      <c r="E62" s="2">
        <v>5</v>
      </c>
      <c r="F62" s="2" t="str">
        <f>_xlfn.XLOOKUP(C62,customers!$A$1:$A$1001,customers!$B$1:$B$1001,,0,1)</f>
        <v>Correy Cottingham</v>
      </c>
      <c r="G62" s="2" t="str">
        <f>IF((_xlfn.XLOOKUP(C62,customers!$A$2:$A$1001,customers!$C$2:$C$1001,,,)=0),"",(_xlfn.XLOOKUP(C62,customers!$A$2:$A$1001,customers!$C$2:$C$1001,,0,)))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t="str" cm="1">
        <f t="array" ref="N62">_xlfn.IFS(I62="rob","Robusta",I62="exc","Excesla",I62="ara","Arabica",I62="lib","Liberica")</f>
        <v>Arabica</v>
      </c>
      <c r="O62" t="str" cm="1">
        <f t="array" ref="O62">_xlfn.IFS(J62="m","Medium",J62="l","Light",J62="d","Dark")</f>
        <v>Dark</v>
      </c>
      <c r="P62" t="str">
        <f>_xlfn.XLOOKUP(orders[[#This Row],[Customer ID]],customers!$A$2:$A$1001,customers!$I$2:$I$1001,,0)</f>
        <v>No</v>
      </c>
    </row>
    <row r="63" spans="1:16" x14ac:dyDescent="0.3">
      <c r="A63" s="2" t="s">
        <v>833</v>
      </c>
      <c r="B63" s="6">
        <v>43521</v>
      </c>
      <c r="C63" s="2" t="s">
        <v>834</v>
      </c>
      <c r="D63" t="s">
        <v>6172</v>
      </c>
      <c r="E63" s="2">
        <v>5</v>
      </c>
      <c r="F63" s="2" t="str">
        <f>_xlfn.XLOOKUP(C63,customers!$A$1:$A$1001,customers!$B$1:$B$1001,,0,1)</f>
        <v>Pammi Endacott</v>
      </c>
      <c r="G63" s="2" t="str">
        <f>IF((_xlfn.XLOOKUP(C63,customers!$A$2:$A$1001,customers!$C$2:$C$1001,,,)=0),"",(_xlfn.XLOOKUP(C63,customers!$A$2:$A$1001,customers!$C$2:$C$1001,,0,)))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t="str" cm="1">
        <f t="array" ref="N63">_xlfn.IFS(I63="rob","Robusta",I63="exc","Excesla",I63="ara","Arabica",I63="lib","Liberica")</f>
        <v>Robusta</v>
      </c>
      <c r="O63" t="str" cm="1">
        <f t="array" ref="O63">_xlfn.IFS(J63="m","Medium",J63="l","Light",J63="d","Dark")</f>
        <v>Dark</v>
      </c>
      <c r="P63" t="str">
        <f>_xlfn.XLOOKUP(orders[[#This Row],[Customer ID]],customers!$A$2:$A$1001,customers!$I$2:$I$1001,,0)</f>
        <v>Yes</v>
      </c>
    </row>
    <row r="64" spans="1:16" x14ac:dyDescent="0.3">
      <c r="A64" s="2" t="s">
        <v>838</v>
      </c>
      <c r="B64" s="6">
        <v>43505</v>
      </c>
      <c r="C64" s="2" t="s">
        <v>839</v>
      </c>
      <c r="D64" t="s">
        <v>6145</v>
      </c>
      <c r="E64" s="2">
        <v>5</v>
      </c>
      <c r="F64" s="2" t="str">
        <f>_xlfn.XLOOKUP(C64,customers!$A$1:$A$1001,customers!$B$1:$B$1001,,0,1)</f>
        <v>Nona Linklater</v>
      </c>
      <c r="G64" s="2" t="str">
        <f>IF((_xlfn.XLOOKUP(C64,customers!$A$2:$A$1001,customers!$C$2:$C$1001,,,)=0),"",(_xlfn.XLOOKUP(C64,customers!$A$2:$A$1001,customers!$C$2:$C$1001,,0,)))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t="str" cm="1">
        <f t="array" ref="N64">_xlfn.IFS(I64="rob","Robusta",I64="exc","Excesla",I64="ara","Arabica",I64="lib","Liberica")</f>
        <v>Liberica</v>
      </c>
      <c r="O64" t="str" cm="1">
        <f t="array" ref="O64">_xlfn.IFS(J64="m","Medium",J64="l","Light",J64="d","Dark")</f>
        <v>Light</v>
      </c>
      <c r="P64" t="str">
        <f>_xlfn.XLOOKUP(orders[[#This Row],[Customer ID]],customers!$A$2:$A$1001,customers!$I$2:$I$1001,,0)</f>
        <v>Yes</v>
      </c>
    </row>
    <row r="65" spans="1:16" x14ac:dyDescent="0.3">
      <c r="A65" s="2" t="s">
        <v>843</v>
      </c>
      <c r="B65" s="6">
        <v>43868</v>
      </c>
      <c r="C65" s="2" t="s">
        <v>844</v>
      </c>
      <c r="D65" t="s">
        <v>6157</v>
      </c>
      <c r="E65" s="2">
        <v>1</v>
      </c>
      <c r="F65" s="2" t="str">
        <f>_xlfn.XLOOKUP(C65,customers!$A$1:$A$1001,customers!$B$1:$B$1001,,0,1)</f>
        <v>Annadiane Dykes</v>
      </c>
      <c r="G65" s="2" t="str">
        <f>IF((_xlfn.XLOOKUP(C65,customers!$A$2:$A$1001,customers!$C$2:$C$1001,,,)=0),"",(_xlfn.XLOOKUP(C65,customers!$A$2:$A$1001,customers!$C$2:$C$1001,,0,)))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t="str" cm="1">
        <f t="array" ref="N65">_xlfn.IFS(I65="rob","Robusta",I65="exc","Excesla",I65="ara","Arabica",I65="lib","Liberica")</f>
        <v>Arabica</v>
      </c>
      <c r="O65" t="str" cm="1">
        <f t="array" ref="O65">_xlfn.IFS(J65="m","Medium",J65="l","Light",J65="d","Dark")</f>
        <v>Medium</v>
      </c>
      <c r="P65" t="str">
        <f>_xlfn.XLOOKUP(orders[[#This Row],[Customer ID]],customers!$A$2:$A$1001,customers!$I$2:$I$1001,,0)</f>
        <v>No</v>
      </c>
    </row>
    <row r="66" spans="1:16" x14ac:dyDescent="0.3">
      <c r="A66" s="2" t="s">
        <v>849</v>
      </c>
      <c r="B66" s="6">
        <v>43913</v>
      </c>
      <c r="C66" s="2" t="s">
        <v>850</v>
      </c>
      <c r="D66" t="s">
        <v>6146</v>
      </c>
      <c r="E66" s="2">
        <v>6</v>
      </c>
      <c r="F66" s="2" t="str">
        <f>_xlfn.XLOOKUP(C66,customers!$A$1:$A$1001,customers!$B$1:$B$1001,,0,1)</f>
        <v>Felecia Dodgson</v>
      </c>
      <c r="G66" s="2" t="str">
        <f>IF((_xlfn.XLOOKUP(C66,customers!$A$2:$A$1001,customers!$C$2:$C$1001,,,)=0),"",(_xlfn.XLOOKUP(C66,customers!$A$2:$A$1001,customers!$C$2:$C$1001,,0,)))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t="str" cm="1">
        <f t="array" ref="N66">_xlfn.IFS(I66="rob","Robusta",I66="exc","Excesla",I66="ara","Arabica",I66="lib","Liberica")</f>
        <v>Robusta</v>
      </c>
      <c r="O66" t="str" cm="1">
        <f t="array" ref="O66">_xlfn.IFS(J66="m","Medium",J66="l","Light",J66="d","Dark")</f>
        <v>Medium</v>
      </c>
      <c r="P66" t="str">
        <f>_xlfn.XLOOKUP(orders[[#This Row],[Customer ID]],customers!$A$2:$A$1001,customers!$I$2:$I$1001,,0)</f>
        <v>Yes</v>
      </c>
    </row>
    <row r="67" spans="1:16" x14ac:dyDescent="0.3">
      <c r="A67" s="2" t="s">
        <v>854</v>
      </c>
      <c r="B67" s="6">
        <v>44626</v>
      </c>
      <c r="C67" s="2" t="s">
        <v>855</v>
      </c>
      <c r="D67" t="s">
        <v>6149</v>
      </c>
      <c r="E67" s="2">
        <v>4</v>
      </c>
      <c r="F67" s="2" t="str">
        <f>_xlfn.XLOOKUP(C67,customers!$A$1:$A$1001,customers!$B$1:$B$1001,,0,1)</f>
        <v>Angelia Cockrem</v>
      </c>
      <c r="G67" s="2" t="str">
        <f>IF((_xlfn.XLOOKUP(C67,customers!$A$2:$A$1001,customers!$C$2:$C$1001,,,)=0),"",(_xlfn.XLOOKUP(C67,customers!$A$2:$A$1001,customers!$C$2:$C$1001,,0,)))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1">L67*E67</f>
        <v>82.339999999999989</v>
      </c>
      <c r="N67" t="str" cm="1">
        <f t="array" ref="N67">_xlfn.IFS(I67="rob","Robusta",I67="exc","Excesla",I67="ara","Arabica",I67="lib","Liberica")</f>
        <v>Robusta</v>
      </c>
      <c r="O67" t="str" cm="1">
        <f t="array" ref="O67">_xlfn.IFS(J67="m","Medium",J67="l","Light",J67="d","Dark")</f>
        <v>Dark</v>
      </c>
      <c r="P67" t="str">
        <f>_xlfn.XLOOKUP(orders[[#This Row],[Customer ID]],customers!$A$2:$A$1001,customers!$I$2:$I$1001,,0)</f>
        <v>Yes</v>
      </c>
    </row>
    <row r="68" spans="1:16" x14ac:dyDescent="0.3">
      <c r="A68" s="2" t="s">
        <v>860</v>
      </c>
      <c r="B68" s="6">
        <v>44666</v>
      </c>
      <c r="C68" s="2" t="s">
        <v>861</v>
      </c>
      <c r="D68" t="s">
        <v>6173</v>
      </c>
      <c r="E68" s="2">
        <v>1</v>
      </c>
      <c r="F68" s="2" t="str">
        <f>_xlfn.XLOOKUP(C68,customers!$A$1:$A$1001,customers!$B$1:$B$1001,,0,1)</f>
        <v>Belvia Umpleby</v>
      </c>
      <c r="G68" s="2" t="str">
        <f>IF((_xlfn.XLOOKUP(C68,customers!$A$2:$A$1001,customers!$C$2:$C$1001,,,)=0),"",(_xlfn.XLOOKUP(C68,customers!$A$2:$A$1001,customers!$C$2:$C$1001,,0,)))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1"/>
        <v>7.169999999999999</v>
      </c>
      <c r="N68" t="str" cm="1">
        <f t="array" ref="N68">_xlfn.IFS(I68="rob","Robusta",I68="exc","Excesla",I68="ara","Arabica",I68="lib","Liberica")</f>
        <v>Robusta</v>
      </c>
      <c r="O68" t="str" cm="1">
        <f t="array" ref="O68">_xlfn.IFS(J68="m","Medium",J68="l","Light",J68="d","Dark")</f>
        <v>Light</v>
      </c>
      <c r="P68" t="str">
        <f>_xlfn.XLOOKUP(orders[[#This Row],[Customer ID]],customers!$A$2:$A$1001,customers!$I$2:$I$1001,,0)</f>
        <v>Yes</v>
      </c>
    </row>
    <row r="69" spans="1:16" x14ac:dyDescent="0.3">
      <c r="A69" s="2" t="s">
        <v>866</v>
      </c>
      <c r="B69" s="6">
        <v>44519</v>
      </c>
      <c r="C69" s="2" t="s">
        <v>867</v>
      </c>
      <c r="D69" t="s">
        <v>6145</v>
      </c>
      <c r="E69" s="2">
        <v>2</v>
      </c>
      <c r="F69" s="2" t="str">
        <f>_xlfn.XLOOKUP(C69,customers!$A$1:$A$1001,customers!$B$1:$B$1001,,0,1)</f>
        <v>Nat Saleway</v>
      </c>
      <c r="G69" s="2" t="str">
        <f>IF((_xlfn.XLOOKUP(C69,customers!$A$2:$A$1001,customers!$C$2:$C$1001,,,)=0),"",(_xlfn.XLOOKUP(C69,customers!$A$2:$A$1001,customers!$C$2:$C$1001,,0,)))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1"/>
        <v>9.51</v>
      </c>
      <c r="N69" t="str" cm="1">
        <f t="array" ref="N69">_xlfn.IFS(I69="rob","Robusta",I69="exc","Excesla",I69="ara","Arabica",I69="lib","Liberica")</f>
        <v>Liberica</v>
      </c>
      <c r="O69" t="str" cm="1">
        <f t="array" ref="O69">_xlfn.IFS(J69="m","Medium",J69="l","Light",J69="d","Dark")</f>
        <v>Light</v>
      </c>
      <c r="P69" t="str">
        <f>_xlfn.XLOOKUP(orders[[#This Row],[Customer ID]],customers!$A$2:$A$1001,customers!$I$2:$I$1001,,0)</f>
        <v>No</v>
      </c>
    </row>
    <row r="70" spans="1:16" x14ac:dyDescent="0.3">
      <c r="A70" s="2" t="s">
        <v>872</v>
      </c>
      <c r="B70" s="6">
        <v>43754</v>
      </c>
      <c r="C70" s="2" t="s">
        <v>873</v>
      </c>
      <c r="D70" t="s">
        <v>6174</v>
      </c>
      <c r="E70" s="2">
        <v>1</v>
      </c>
      <c r="F70" s="2" t="str">
        <f>_xlfn.XLOOKUP(C70,customers!$A$1:$A$1001,customers!$B$1:$B$1001,,0,1)</f>
        <v>Hayward Goulter</v>
      </c>
      <c r="G70" s="2" t="str">
        <f>IF((_xlfn.XLOOKUP(C70,customers!$A$2:$A$1001,customers!$C$2:$C$1001,,,)=0),"",(_xlfn.XLOOKUP(C70,customers!$A$2:$A$1001,customers!$C$2:$C$1001,,0,)))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1"/>
        <v>2.9849999999999999</v>
      </c>
      <c r="N70" t="str" cm="1">
        <f t="array" ref="N70">_xlfn.IFS(I70="rob","Robusta",I70="exc","Excesla",I70="ara","Arabica",I70="lib","Liberica")</f>
        <v>Robusta</v>
      </c>
      <c r="O70" t="str" cm="1">
        <f t="array" ref="O70">_xlfn.IFS(J70="m","Medium",J70="l","Light",J70="d","Dark")</f>
        <v>Medium</v>
      </c>
      <c r="P70" t="str">
        <f>_xlfn.XLOOKUP(orders[[#This Row],[Customer ID]],customers!$A$2:$A$1001,customers!$I$2:$I$1001,,0)</f>
        <v>No</v>
      </c>
    </row>
    <row r="71" spans="1:16" x14ac:dyDescent="0.3">
      <c r="A71" s="2" t="s">
        <v>878</v>
      </c>
      <c r="B71" s="6">
        <v>43795</v>
      </c>
      <c r="C71" s="2" t="s">
        <v>879</v>
      </c>
      <c r="D71" t="s">
        <v>6138</v>
      </c>
      <c r="E71" s="2">
        <v>6</v>
      </c>
      <c r="F71" s="2" t="str">
        <f>_xlfn.XLOOKUP(C71,customers!$A$1:$A$1001,customers!$B$1:$B$1001,,0,1)</f>
        <v>Gay Rizzello</v>
      </c>
      <c r="G71" s="2" t="str">
        <f>IF((_xlfn.XLOOKUP(C71,customers!$A$2:$A$1001,customers!$C$2:$C$1001,,,)=0),"",(_xlfn.XLOOKUP(C71,customers!$A$2:$A$1001,customers!$C$2:$C$1001,,0,)))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1"/>
        <v>59.699999999999996</v>
      </c>
      <c r="N71" t="str" cm="1">
        <f t="array" ref="N71">_xlfn.IFS(I71="rob","Robusta",I71="exc","Excesla",I71="ara","Arabica",I71="lib","Liberica")</f>
        <v>Robusta</v>
      </c>
      <c r="O71" t="str" cm="1">
        <f t="array" ref="O71">_xlfn.IFS(J71="m","Medium",J71="l","Light",J71="d","Dark")</f>
        <v>Medium</v>
      </c>
      <c r="P71" t="str">
        <f>_xlfn.XLOOKUP(orders[[#This Row],[Customer ID]],customers!$A$2:$A$1001,customers!$I$2:$I$1001,,0)</f>
        <v>Yes</v>
      </c>
    </row>
    <row r="72" spans="1:16" x14ac:dyDescent="0.3">
      <c r="A72" s="2" t="s">
        <v>885</v>
      </c>
      <c r="B72" s="6">
        <v>43646</v>
      </c>
      <c r="C72" s="2" t="s">
        <v>886</v>
      </c>
      <c r="D72" t="s">
        <v>6148</v>
      </c>
      <c r="E72" s="2">
        <v>4</v>
      </c>
      <c r="F72" s="2" t="str">
        <f>_xlfn.XLOOKUP(C72,customers!$A$1:$A$1001,customers!$B$1:$B$1001,,0,1)</f>
        <v>Shannon List</v>
      </c>
      <c r="G72" s="2" t="str">
        <f>IF((_xlfn.XLOOKUP(C72,customers!$A$2:$A$1001,customers!$C$2:$C$1001,,,)=0),"",(_xlfn.XLOOKUP(C72,customers!$A$2:$A$1001,customers!$C$2:$C$1001,,0,)))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1"/>
        <v>136.61999999999998</v>
      </c>
      <c r="N72" t="str" cm="1">
        <f t="array" ref="N72">_xlfn.IFS(I72="rob","Robusta",I72="exc","Excesla",I72="ara","Arabica",I72="lib","Liberica")</f>
        <v>Excesla</v>
      </c>
      <c r="O72" t="str" cm="1">
        <f t="array" ref="O72">_xlfn.IFS(J72="m","Medium",J72="l","Light",J72="d","Dark")</f>
        <v>Light</v>
      </c>
      <c r="P72" t="str">
        <f>_xlfn.XLOOKUP(orders[[#This Row],[Customer ID]],customers!$A$2:$A$1001,customers!$I$2:$I$1001,,0)</f>
        <v>No</v>
      </c>
    </row>
    <row r="73" spans="1:16" x14ac:dyDescent="0.3">
      <c r="A73" s="2" t="s">
        <v>891</v>
      </c>
      <c r="B73" s="6">
        <v>44200</v>
      </c>
      <c r="C73" s="2" t="s">
        <v>892</v>
      </c>
      <c r="D73" t="s">
        <v>6145</v>
      </c>
      <c r="E73" s="2">
        <v>2</v>
      </c>
      <c r="F73" s="2" t="str">
        <f>_xlfn.XLOOKUP(C73,customers!$A$1:$A$1001,customers!$B$1:$B$1001,,0,1)</f>
        <v>Shirlene Edmondson</v>
      </c>
      <c r="G73" s="2" t="str">
        <f>IF((_xlfn.XLOOKUP(C73,customers!$A$2:$A$1001,customers!$C$2:$C$1001,,,)=0),"",(_xlfn.XLOOKUP(C73,customers!$A$2:$A$1001,customers!$C$2:$C$1001,,0,)))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1"/>
        <v>9.51</v>
      </c>
      <c r="N73" t="str" cm="1">
        <f t="array" ref="N73">_xlfn.IFS(I73="rob","Robusta",I73="exc","Excesla",I73="ara","Arabica",I73="lib","Liberica")</f>
        <v>Liberica</v>
      </c>
      <c r="O73" t="str" cm="1">
        <f t="array" ref="O73">_xlfn.IFS(J73="m","Medium",J73="l","Light",J73="d","Dark")</f>
        <v>Light</v>
      </c>
      <c r="P73" t="str">
        <f>_xlfn.XLOOKUP(orders[[#This Row],[Customer ID]],customers!$A$2:$A$1001,customers!$I$2:$I$1001,,0)</f>
        <v>No</v>
      </c>
    </row>
    <row r="74" spans="1:16" x14ac:dyDescent="0.3">
      <c r="A74" s="2" t="s">
        <v>897</v>
      </c>
      <c r="B74" s="6">
        <v>44131</v>
      </c>
      <c r="C74" s="2" t="s">
        <v>898</v>
      </c>
      <c r="D74" t="s">
        <v>6175</v>
      </c>
      <c r="E74" s="2">
        <v>3</v>
      </c>
      <c r="F74" s="2" t="str">
        <f>_xlfn.XLOOKUP(C74,customers!$A$1:$A$1001,customers!$B$1:$B$1001,,0,1)</f>
        <v>Aurlie McCarl</v>
      </c>
      <c r="G74" s="2" t="str">
        <f>IF((_xlfn.XLOOKUP(C74,customers!$A$2:$A$1001,customers!$C$2:$C$1001,,,)=0),"",(_xlfn.XLOOKUP(C74,customers!$A$2:$A$1001,customers!$C$2:$C$1001,,0,)))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1"/>
        <v>77.624999999999986</v>
      </c>
      <c r="N74" t="str" cm="1">
        <f t="array" ref="N74">_xlfn.IFS(I74="rob","Robusta",I74="exc","Excesla",I74="ara","Arabica",I74="lib","Liberica")</f>
        <v>Arabica</v>
      </c>
      <c r="O74" t="str" cm="1">
        <f t="array" ref="O74">_xlfn.IFS(J74="m","Medium",J74="l","Light",J74="d","Dark")</f>
        <v>Medium</v>
      </c>
      <c r="P74" t="str">
        <f>_xlfn.XLOOKUP(orders[[#This Row],[Customer ID]],customers!$A$2:$A$1001,customers!$I$2:$I$1001,,0)</f>
        <v>No</v>
      </c>
    </row>
    <row r="75" spans="1:16" x14ac:dyDescent="0.3">
      <c r="A75" s="2" t="s">
        <v>902</v>
      </c>
      <c r="B75" s="6">
        <v>44362</v>
      </c>
      <c r="C75" s="2" t="s">
        <v>903</v>
      </c>
      <c r="D75" t="s">
        <v>6159</v>
      </c>
      <c r="E75" s="2">
        <v>5</v>
      </c>
      <c r="F75" s="2" t="str">
        <f>_xlfn.XLOOKUP(C75,customers!$A$1:$A$1001,customers!$B$1:$B$1001,,0,1)</f>
        <v>Alikee Carryer</v>
      </c>
      <c r="G75" s="2" t="str">
        <f>IF((_xlfn.XLOOKUP(C75,customers!$A$2:$A$1001,customers!$C$2:$C$1001,,,)=0),"",(_xlfn.XLOOKUP(C75,customers!$A$2:$A$1001,customers!$C$2:$C$1001,,0,)))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1"/>
        <v>21.825000000000003</v>
      </c>
      <c r="N75" t="str" cm="1">
        <f t="array" ref="N75">_xlfn.IFS(I75="rob","Robusta",I75="exc","Excesla",I75="ara","Arabica",I75="lib","Liberica")</f>
        <v>Liberica</v>
      </c>
      <c r="O75" t="str" cm="1">
        <f t="array" ref="O75">_xlfn.IFS(J75="m","Medium",J75="l","Light",J75="d","Dark")</f>
        <v>Medium</v>
      </c>
      <c r="P75" t="str">
        <f>_xlfn.XLOOKUP(orders[[#This Row],[Customer ID]],customers!$A$2:$A$1001,customers!$I$2:$I$1001,,0)</f>
        <v>Yes</v>
      </c>
    </row>
    <row r="76" spans="1:16" x14ac:dyDescent="0.3">
      <c r="A76" s="2" t="s">
        <v>907</v>
      </c>
      <c r="B76" s="6">
        <v>44396</v>
      </c>
      <c r="C76" s="2" t="s">
        <v>908</v>
      </c>
      <c r="D76" t="s">
        <v>6176</v>
      </c>
      <c r="E76" s="2">
        <v>2</v>
      </c>
      <c r="F76" s="2" t="str">
        <f>_xlfn.XLOOKUP(C76,customers!$A$1:$A$1001,customers!$B$1:$B$1001,,0,1)</f>
        <v>Jennifer Rangall</v>
      </c>
      <c r="G76" s="2" t="str">
        <f>IF((_xlfn.XLOOKUP(C76,customers!$A$2:$A$1001,customers!$C$2:$C$1001,,,)=0),"",(_xlfn.XLOOKUP(C76,customers!$A$2:$A$1001,customers!$C$2:$C$1001,,0,)))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1"/>
        <v>17.82</v>
      </c>
      <c r="N76" t="str" cm="1">
        <f t="array" ref="N76">_xlfn.IFS(I76="rob","Robusta",I76="exc","Excesla",I76="ara","Arabica",I76="lib","Liberica")</f>
        <v>Excesla</v>
      </c>
      <c r="O76" t="str" cm="1">
        <f t="array" ref="O76">_xlfn.IFS(J76="m","Medium",J76="l","Light",J76="d","Dark")</f>
        <v>Light</v>
      </c>
      <c r="P76" t="str">
        <f>_xlfn.XLOOKUP(orders[[#This Row],[Customer ID]],customers!$A$2:$A$1001,customers!$I$2:$I$1001,,0)</f>
        <v>Yes</v>
      </c>
    </row>
    <row r="77" spans="1:16" x14ac:dyDescent="0.3">
      <c r="A77" s="2" t="s">
        <v>913</v>
      </c>
      <c r="B77" s="6">
        <v>44400</v>
      </c>
      <c r="C77" s="2" t="s">
        <v>914</v>
      </c>
      <c r="D77" t="s">
        <v>6177</v>
      </c>
      <c r="E77" s="2">
        <v>6</v>
      </c>
      <c r="F77" s="2" t="str">
        <f>_xlfn.XLOOKUP(C77,customers!$A$1:$A$1001,customers!$B$1:$B$1001,,0,1)</f>
        <v>Kipper Boorn</v>
      </c>
      <c r="G77" s="2" t="str">
        <f>IF((_xlfn.XLOOKUP(C77,customers!$A$2:$A$1001,customers!$C$2:$C$1001,,,)=0),"",(_xlfn.XLOOKUP(C77,customers!$A$2:$A$1001,customers!$C$2:$C$1001,,0,)))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1"/>
        <v>53.699999999999996</v>
      </c>
      <c r="N77" t="str" cm="1">
        <f t="array" ref="N77">_xlfn.IFS(I77="rob","Robusta",I77="exc","Excesla",I77="ara","Arabica",I77="lib","Liberica")</f>
        <v>Robusta</v>
      </c>
      <c r="O77" t="str" cm="1">
        <f t="array" ref="O77">_xlfn.IFS(J77="m","Medium",J77="l","Light",J77="d","Dark")</f>
        <v>Dark</v>
      </c>
      <c r="P77" t="str">
        <f>_xlfn.XLOOKUP(orders[[#This Row],[Customer ID]],customers!$A$2:$A$1001,customers!$I$2:$I$1001,,0)</f>
        <v>Yes</v>
      </c>
    </row>
    <row r="78" spans="1:16" x14ac:dyDescent="0.3">
      <c r="A78" s="2" t="s">
        <v>919</v>
      </c>
      <c r="B78" s="6">
        <v>43855</v>
      </c>
      <c r="C78" s="2" t="s">
        <v>920</v>
      </c>
      <c r="D78" t="s">
        <v>6178</v>
      </c>
      <c r="E78" s="2">
        <v>1</v>
      </c>
      <c r="F78" s="2" t="str">
        <f>_xlfn.XLOOKUP(C78,customers!$A$1:$A$1001,customers!$B$1:$B$1001,,0,1)</f>
        <v>Melania Beadle</v>
      </c>
      <c r="G78" s="2" t="str">
        <f>IF((_xlfn.XLOOKUP(C78,customers!$A$2:$A$1001,customers!$C$2:$C$1001,,,)=0),"",(_xlfn.XLOOKUP(C78,customers!$A$2:$A$1001,customers!$C$2:$C$1001,,0,)))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1"/>
        <v>3.5849999999999995</v>
      </c>
      <c r="N78" t="str" cm="1">
        <f t="array" ref="N78">_xlfn.IFS(I78="rob","Robusta",I78="exc","Excesla",I78="ara","Arabica",I78="lib","Liberica")</f>
        <v>Robusta</v>
      </c>
      <c r="O78" t="str" cm="1">
        <f t="array" ref="O78">_xlfn.IFS(J78="m","Medium",J78="l","Light",J78="d","Dark")</f>
        <v>Light</v>
      </c>
      <c r="P78" t="str">
        <f>_xlfn.XLOOKUP(orders[[#This Row],[Customer ID]],customers!$A$2:$A$1001,customers!$I$2:$I$1001,,0)</f>
        <v>Yes</v>
      </c>
    </row>
    <row r="79" spans="1:16" x14ac:dyDescent="0.3">
      <c r="A79" s="2" t="s">
        <v>924</v>
      </c>
      <c r="B79" s="6">
        <v>43594</v>
      </c>
      <c r="C79" s="2" t="s">
        <v>925</v>
      </c>
      <c r="D79" t="s">
        <v>6153</v>
      </c>
      <c r="E79" s="2">
        <v>2</v>
      </c>
      <c r="F79" s="2" t="str">
        <f>_xlfn.XLOOKUP(C79,customers!$A$1:$A$1001,customers!$B$1:$B$1001,,0,1)</f>
        <v>Colene Elgey</v>
      </c>
      <c r="G79" s="2" t="str">
        <f>IF((_xlfn.XLOOKUP(C79,customers!$A$2:$A$1001,customers!$C$2:$C$1001,,,)=0),"",(_xlfn.XLOOKUP(C79,customers!$A$2:$A$1001,customers!$C$2:$C$1001,,0,)))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1"/>
        <v>7.29</v>
      </c>
      <c r="N79" t="str" cm="1">
        <f t="array" ref="N79">_xlfn.IFS(I79="rob","Robusta",I79="exc","Excesla",I79="ara","Arabica",I79="lib","Liberica")</f>
        <v>Excesla</v>
      </c>
      <c r="O79" t="str" cm="1">
        <f t="array" ref="O79">_xlfn.IFS(J79="m","Medium",J79="l","Light",J79="d","Dark")</f>
        <v>Dark</v>
      </c>
      <c r="P79" t="str">
        <f>_xlfn.XLOOKUP(orders[[#This Row],[Customer ID]],customers!$A$2:$A$1001,customers!$I$2:$I$1001,,0)</f>
        <v>No</v>
      </c>
    </row>
    <row r="80" spans="1:16" x14ac:dyDescent="0.3">
      <c r="A80" s="2" t="s">
        <v>930</v>
      </c>
      <c r="B80" s="6">
        <v>43920</v>
      </c>
      <c r="C80" s="2" t="s">
        <v>931</v>
      </c>
      <c r="D80" t="s">
        <v>6157</v>
      </c>
      <c r="E80" s="2">
        <v>6</v>
      </c>
      <c r="F80" s="2" t="str">
        <f>_xlfn.XLOOKUP(C80,customers!$A$1:$A$1001,customers!$B$1:$B$1001,,0,1)</f>
        <v>Lothaire Mizzi</v>
      </c>
      <c r="G80" s="2" t="str">
        <f>IF((_xlfn.XLOOKUP(C80,customers!$A$2:$A$1001,customers!$C$2:$C$1001,,,)=0),"",(_xlfn.XLOOKUP(C80,customers!$A$2:$A$1001,customers!$C$2:$C$1001,,0,)))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1"/>
        <v>40.5</v>
      </c>
      <c r="N80" t="str" cm="1">
        <f t="array" ref="N80">_xlfn.IFS(I80="rob","Robusta",I80="exc","Excesla",I80="ara","Arabica",I80="lib","Liberica")</f>
        <v>Arabica</v>
      </c>
      <c r="O80" t="str" cm="1">
        <f t="array" ref="O80">_xlfn.IFS(J80="m","Medium",J80="l","Light",J80="d","Dark")</f>
        <v>Medium</v>
      </c>
      <c r="P80" t="str">
        <f>_xlfn.XLOOKUP(orders[[#This Row],[Customer ID]],customers!$A$2:$A$1001,customers!$I$2:$I$1001,,0)</f>
        <v>Yes</v>
      </c>
    </row>
    <row r="81" spans="1:16" x14ac:dyDescent="0.3">
      <c r="A81" s="2" t="s">
        <v>936</v>
      </c>
      <c r="B81" s="6">
        <v>44633</v>
      </c>
      <c r="C81" s="2" t="s">
        <v>937</v>
      </c>
      <c r="D81" t="s">
        <v>6179</v>
      </c>
      <c r="E81" s="2">
        <v>4</v>
      </c>
      <c r="F81" s="2" t="str">
        <f>_xlfn.XLOOKUP(C81,customers!$A$1:$A$1001,customers!$B$1:$B$1001,,0,1)</f>
        <v>Cletis Giacomazzo</v>
      </c>
      <c r="G81" s="2" t="str">
        <f>IF((_xlfn.XLOOKUP(C81,customers!$A$2:$A$1001,customers!$C$2:$C$1001,,,)=0),"",(_xlfn.XLOOKUP(C81,customers!$A$2:$A$1001,customers!$C$2:$C$1001,,0,)))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1"/>
        <v>47.8</v>
      </c>
      <c r="N81" t="str" cm="1">
        <f t="array" ref="N81">_xlfn.IFS(I81="rob","Robusta",I81="exc","Excesla",I81="ara","Arabica",I81="lib","Liberica")</f>
        <v>Robusta</v>
      </c>
      <c r="O81" t="str" cm="1">
        <f t="array" ref="O81">_xlfn.IFS(J81="m","Medium",J81="l","Light",J81="d","Dark")</f>
        <v>Light</v>
      </c>
      <c r="P81" t="str">
        <f>_xlfn.XLOOKUP(orders[[#This Row],[Customer ID]],customers!$A$2:$A$1001,customers!$I$2:$I$1001,,0)</f>
        <v>No</v>
      </c>
    </row>
    <row r="82" spans="1:16" x14ac:dyDescent="0.3">
      <c r="A82" s="2" t="s">
        <v>942</v>
      </c>
      <c r="B82" s="6">
        <v>43572</v>
      </c>
      <c r="C82" s="2" t="s">
        <v>943</v>
      </c>
      <c r="D82" t="s">
        <v>6180</v>
      </c>
      <c r="E82" s="2">
        <v>5</v>
      </c>
      <c r="F82" s="2" t="str">
        <f>_xlfn.XLOOKUP(C82,customers!$A$1:$A$1001,customers!$B$1:$B$1001,,0,1)</f>
        <v>Ami Arnow</v>
      </c>
      <c r="G82" s="2" t="str">
        <f>IF((_xlfn.XLOOKUP(C82,customers!$A$2:$A$1001,customers!$C$2:$C$1001,,,)=0),"",(_xlfn.XLOOKUP(C82,customers!$A$2:$A$1001,customers!$C$2:$C$1001,,0,)))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1"/>
        <v>38.849999999999994</v>
      </c>
      <c r="N82" t="str" cm="1">
        <f t="array" ref="N82">_xlfn.IFS(I82="rob","Robusta",I82="exc","Excesla",I82="ara","Arabica",I82="lib","Liberica")</f>
        <v>Arabica</v>
      </c>
      <c r="O82" t="str" cm="1">
        <f t="array" ref="O82">_xlfn.IFS(J82="m","Medium",J82="l","Light",J82="d","Dark")</f>
        <v>Light</v>
      </c>
      <c r="P82" t="str">
        <f>_xlfn.XLOOKUP(orders[[#This Row],[Customer ID]],customers!$A$2:$A$1001,customers!$I$2:$I$1001,,0)</f>
        <v>Yes</v>
      </c>
    </row>
    <row r="83" spans="1:16" x14ac:dyDescent="0.3">
      <c r="A83" s="2" t="s">
        <v>948</v>
      </c>
      <c r="B83" s="6">
        <v>43763</v>
      </c>
      <c r="C83" s="2" t="s">
        <v>949</v>
      </c>
      <c r="D83" t="s">
        <v>6164</v>
      </c>
      <c r="E83" s="2">
        <v>3</v>
      </c>
      <c r="F83" s="2" t="str">
        <f>_xlfn.XLOOKUP(C83,customers!$A$1:$A$1001,customers!$B$1:$B$1001,,0,1)</f>
        <v>Sheppard Yann</v>
      </c>
      <c r="G83" s="2" t="str">
        <f>IF((_xlfn.XLOOKUP(C83,customers!$A$2:$A$1001,customers!$C$2:$C$1001,,,)=0),"",(_xlfn.XLOOKUP(C83,customers!$A$2:$A$1001,customers!$C$2:$C$1001,,0,)))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1"/>
        <v>109.36499999999999</v>
      </c>
      <c r="N83" t="str" cm="1">
        <f t="array" ref="N83">_xlfn.IFS(I83="rob","Robusta",I83="exc","Excesla",I83="ara","Arabica",I83="lib","Liberica")</f>
        <v>Liberica</v>
      </c>
      <c r="O83" t="str" cm="1">
        <f t="array" ref="O83">_xlfn.IFS(J83="m","Medium",J83="l","Light",J83="d","Dark")</f>
        <v>Light</v>
      </c>
      <c r="P83" t="str">
        <f>_xlfn.XLOOKUP(orders[[#This Row],[Customer ID]],customers!$A$2:$A$1001,customers!$I$2:$I$1001,,0)</f>
        <v>Yes</v>
      </c>
    </row>
    <row r="84" spans="1:16" x14ac:dyDescent="0.3">
      <c r="A84" s="2" t="s">
        <v>954</v>
      </c>
      <c r="B84" s="6">
        <v>43721</v>
      </c>
      <c r="C84" s="2" t="s">
        <v>955</v>
      </c>
      <c r="D84" t="s">
        <v>6181</v>
      </c>
      <c r="E84" s="2">
        <v>3</v>
      </c>
      <c r="F84" s="2" t="str">
        <f>_xlfn.XLOOKUP(C84,customers!$A$1:$A$1001,customers!$B$1:$B$1001,,0,1)</f>
        <v>Bunny Naulls</v>
      </c>
      <c r="G84" s="2" t="str">
        <f>IF((_xlfn.XLOOKUP(C84,customers!$A$2:$A$1001,customers!$C$2:$C$1001,,,)=0),"",(_xlfn.XLOOKUP(C84,customers!$A$2:$A$1001,customers!$C$2:$C$1001,,0,)))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1"/>
        <v>100.39499999999998</v>
      </c>
      <c r="N84" t="str" cm="1">
        <f t="array" ref="N84">_xlfn.IFS(I84="rob","Robusta",I84="exc","Excesla",I84="ara","Arabica",I84="lib","Liberica")</f>
        <v>Liberica</v>
      </c>
      <c r="O84" t="str" cm="1">
        <f t="array" ref="O84">_xlfn.IFS(J84="m","Medium",J84="l","Light",J84="d","Dark")</f>
        <v>Medium</v>
      </c>
      <c r="P84" t="str">
        <f>_xlfn.XLOOKUP(orders[[#This Row],[Customer ID]],customers!$A$2:$A$1001,customers!$I$2:$I$1001,,0)</f>
        <v>Yes</v>
      </c>
    </row>
    <row r="85" spans="1:16" x14ac:dyDescent="0.3">
      <c r="A85" s="2" t="s">
        <v>960</v>
      </c>
      <c r="B85" s="6">
        <v>43933</v>
      </c>
      <c r="C85" s="2" t="s">
        <v>961</v>
      </c>
      <c r="D85" t="s">
        <v>6149</v>
      </c>
      <c r="E85" s="2">
        <v>4</v>
      </c>
      <c r="F85" s="2" t="str">
        <f>_xlfn.XLOOKUP(C85,customers!$A$1:$A$1001,customers!$B$1:$B$1001,,0,1)</f>
        <v>Hally Lorait</v>
      </c>
      <c r="G85" s="2" t="str">
        <f>IF((_xlfn.XLOOKUP(C85,customers!$A$2:$A$1001,customers!$C$2:$C$1001,,,)=0),"",(_xlfn.XLOOKUP(C85,customers!$A$2:$A$1001,customers!$C$2:$C$1001,,0,)))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1"/>
        <v>82.339999999999989</v>
      </c>
      <c r="N85" t="str" cm="1">
        <f t="array" ref="N85">_xlfn.IFS(I85="rob","Robusta",I85="exc","Excesla",I85="ara","Arabica",I85="lib","Liberica")</f>
        <v>Robusta</v>
      </c>
      <c r="O85" t="str" cm="1">
        <f t="array" ref="O85">_xlfn.IFS(J85="m","Medium",J85="l","Light",J85="d","Dark")</f>
        <v>Dark</v>
      </c>
      <c r="P85" t="str">
        <f>_xlfn.XLOOKUP(orders[[#This Row],[Customer ID]],customers!$A$2:$A$1001,customers!$I$2:$I$1001,,0)</f>
        <v>Yes</v>
      </c>
    </row>
    <row r="86" spans="1:16" x14ac:dyDescent="0.3">
      <c r="A86" s="2" t="s">
        <v>965</v>
      </c>
      <c r="B86" s="6">
        <v>43783</v>
      </c>
      <c r="C86" s="2" t="s">
        <v>966</v>
      </c>
      <c r="D86" t="s">
        <v>6161</v>
      </c>
      <c r="E86" s="2">
        <v>1</v>
      </c>
      <c r="F86" s="2" t="str">
        <f>_xlfn.XLOOKUP(C86,customers!$A$1:$A$1001,customers!$B$1:$B$1001,,0,1)</f>
        <v>Zaccaria Sherewood</v>
      </c>
      <c r="G86" s="2" t="str">
        <f>IF((_xlfn.XLOOKUP(C86,customers!$A$2:$A$1001,customers!$C$2:$C$1001,,,)=0),"",(_xlfn.XLOOKUP(C86,customers!$A$2:$A$1001,customers!$C$2:$C$1001,,0,)))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1"/>
        <v>9.51</v>
      </c>
      <c r="N86" t="str" cm="1">
        <f t="array" ref="N86">_xlfn.IFS(I86="rob","Robusta",I86="exc","Excesla",I86="ara","Arabica",I86="lib","Liberica")</f>
        <v>Liberica</v>
      </c>
      <c r="O86" t="str" cm="1">
        <f t="array" ref="O86">_xlfn.IFS(J86="m","Medium",J86="l","Light",J86="d","Dark")</f>
        <v>Light</v>
      </c>
      <c r="P86" t="str">
        <f>_xlfn.XLOOKUP(orders[[#This Row],[Customer ID]],customers!$A$2:$A$1001,customers!$I$2:$I$1001,,0)</f>
        <v>No</v>
      </c>
    </row>
    <row r="87" spans="1:16" x14ac:dyDescent="0.3">
      <c r="A87" s="2" t="s">
        <v>971</v>
      </c>
      <c r="B87" s="6">
        <v>43664</v>
      </c>
      <c r="C87" s="2" t="s">
        <v>972</v>
      </c>
      <c r="D87" t="s">
        <v>6182</v>
      </c>
      <c r="E87" s="2">
        <v>3</v>
      </c>
      <c r="F87" s="2" t="str">
        <f>_xlfn.XLOOKUP(C87,customers!$A$1:$A$1001,customers!$B$1:$B$1001,,0,1)</f>
        <v>Jeffrey Dufaire</v>
      </c>
      <c r="G87" s="2" t="str">
        <f>IF((_xlfn.XLOOKUP(C87,customers!$A$2:$A$1001,customers!$C$2:$C$1001,,,)=0),"",(_xlfn.XLOOKUP(C87,customers!$A$2:$A$1001,customers!$C$2:$C$1001,,0,)))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1"/>
        <v>89.35499999999999</v>
      </c>
      <c r="N87" t="str" cm="1">
        <f t="array" ref="N87">_xlfn.IFS(I87="rob","Robusta",I87="exc","Excesla",I87="ara","Arabica",I87="lib","Liberica")</f>
        <v>Arabica</v>
      </c>
      <c r="O87" t="str" cm="1">
        <f t="array" ref="O87">_xlfn.IFS(J87="m","Medium",J87="l","Light",J87="d","Dark")</f>
        <v>Light</v>
      </c>
      <c r="P87" t="str">
        <f>_xlfn.XLOOKUP(orders[[#This Row],[Customer ID]],customers!$A$2:$A$1001,customers!$I$2:$I$1001,,0)</f>
        <v>No</v>
      </c>
    </row>
    <row r="88" spans="1:16" x14ac:dyDescent="0.3">
      <c r="A88" s="2" t="s">
        <v>971</v>
      </c>
      <c r="B88" s="6">
        <v>43664</v>
      </c>
      <c r="C88" s="2" t="s">
        <v>972</v>
      </c>
      <c r="D88" t="s">
        <v>6154</v>
      </c>
      <c r="E88" s="2">
        <v>4</v>
      </c>
      <c r="F88" s="2" t="str">
        <f>_xlfn.XLOOKUP(C88,customers!$A$1:$A$1001,customers!$B$1:$B$1001,,0,1)</f>
        <v>Jeffrey Dufaire</v>
      </c>
      <c r="G88" s="2" t="str">
        <f>IF((_xlfn.XLOOKUP(C88,customers!$A$2:$A$1001,customers!$C$2:$C$1001,,,)=0),"",(_xlfn.XLOOKUP(C88,customers!$A$2:$A$1001,customers!$C$2:$C$1001,,0,)))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1"/>
        <v>11.94</v>
      </c>
      <c r="N88" t="str" cm="1">
        <f t="array" ref="N88">_xlfn.IFS(I88="rob","Robusta",I88="exc","Excesla",I88="ara","Arabica",I88="lib","Liberica")</f>
        <v>Arabica</v>
      </c>
      <c r="O88" t="str" cm="1">
        <f t="array" ref="O88">_xlfn.IFS(J88="m","Medium",J88="l","Light",J88="d","Dark")</f>
        <v>Dark</v>
      </c>
      <c r="P88" t="str">
        <f>_xlfn.XLOOKUP(orders[[#This Row],[Customer ID]],customers!$A$2:$A$1001,customers!$I$2:$I$1001,,0)</f>
        <v>No</v>
      </c>
    </row>
    <row r="89" spans="1:16" x14ac:dyDescent="0.3">
      <c r="A89" s="2" t="s">
        <v>980</v>
      </c>
      <c r="B89" s="6">
        <v>44289</v>
      </c>
      <c r="C89" s="2" t="s">
        <v>981</v>
      </c>
      <c r="D89" t="s">
        <v>6155</v>
      </c>
      <c r="E89" s="2">
        <v>3</v>
      </c>
      <c r="F89" s="2" t="str">
        <f>_xlfn.XLOOKUP(C89,customers!$A$1:$A$1001,customers!$B$1:$B$1001,,0,1)</f>
        <v>Beitris Keaveney</v>
      </c>
      <c r="G89" s="2" t="str">
        <f>IF((_xlfn.XLOOKUP(C89,customers!$A$2:$A$1001,customers!$C$2:$C$1001,,,)=0),"",(_xlfn.XLOOKUP(C89,customers!$A$2:$A$1001,customers!$C$2:$C$1001,,0,)))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1"/>
        <v>33.75</v>
      </c>
      <c r="N89" t="str" cm="1">
        <f t="array" ref="N89">_xlfn.IFS(I89="rob","Robusta",I89="exc","Excesla",I89="ara","Arabica",I89="lib","Liberica")</f>
        <v>Arabica</v>
      </c>
      <c r="O89" t="str" cm="1">
        <f t="array" ref="O89">_xlfn.IFS(J89="m","Medium",J89="l","Light",J89="d","Dark")</f>
        <v>Medium</v>
      </c>
      <c r="P89" t="str">
        <f>_xlfn.XLOOKUP(orders[[#This Row],[Customer ID]],customers!$A$2:$A$1001,customers!$I$2:$I$1001,,0)</f>
        <v>No</v>
      </c>
    </row>
    <row r="90" spans="1:16" x14ac:dyDescent="0.3">
      <c r="A90" s="2" t="s">
        <v>985</v>
      </c>
      <c r="B90" s="6">
        <v>44284</v>
      </c>
      <c r="C90" s="2" t="s">
        <v>986</v>
      </c>
      <c r="D90" t="s">
        <v>6179</v>
      </c>
      <c r="E90" s="2">
        <v>3</v>
      </c>
      <c r="F90" s="2" t="str">
        <f>_xlfn.XLOOKUP(C90,customers!$A$1:$A$1001,customers!$B$1:$B$1001,,0,1)</f>
        <v>Elna Grise</v>
      </c>
      <c r="G90" s="2" t="str">
        <f>IF((_xlfn.XLOOKUP(C90,customers!$A$2:$A$1001,customers!$C$2:$C$1001,,,)=0),"",(_xlfn.XLOOKUP(C90,customers!$A$2:$A$1001,customers!$C$2:$C$1001,,0,)))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1"/>
        <v>35.849999999999994</v>
      </c>
      <c r="N90" t="str" cm="1">
        <f t="array" ref="N90">_xlfn.IFS(I90="rob","Robusta",I90="exc","Excesla",I90="ara","Arabica",I90="lib","Liberica")</f>
        <v>Robusta</v>
      </c>
      <c r="O90" t="str" cm="1">
        <f t="array" ref="O90">_xlfn.IFS(J90="m","Medium",J90="l","Light",J90="d","Dark")</f>
        <v>Light</v>
      </c>
      <c r="P90" t="str">
        <f>_xlfn.XLOOKUP(orders[[#This Row],[Customer ID]],customers!$A$2:$A$1001,customers!$I$2:$I$1001,,0)</f>
        <v>No</v>
      </c>
    </row>
    <row r="91" spans="1:16" x14ac:dyDescent="0.3">
      <c r="A91" s="2" t="s">
        <v>990</v>
      </c>
      <c r="B91" s="6">
        <v>44545</v>
      </c>
      <c r="C91" s="2" t="s">
        <v>991</v>
      </c>
      <c r="D91" t="s">
        <v>6140</v>
      </c>
      <c r="E91" s="2">
        <v>6</v>
      </c>
      <c r="F91" s="2" t="str">
        <f>_xlfn.XLOOKUP(C91,customers!$A$1:$A$1001,customers!$B$1:$B$1001,,0,1)</f>
        <v>Torie Gottelier</v>
      </c>
      <c r="G91" s="2" t="str">
        <f>IF((_xlfn.XLOOKUP(C91,customers!$A$2:$A$1001,customers!$C$2:$C$1001,,,)=0),"",(_xlfn.XLOOKUP(C91,customers!$A$2:$A$1001,customers!$C$2:$C$1001,,0,)))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1"/>
        <v>77.699999999999989</v>
      </c>
      <c r="N91" t="str" cm="1">
        <f t="array" ref="N91">_xlfn.IFS(I91="rob","Robusta",I91="exc","Excesla",I91="ara","Arabica",I91="lib","Liberica")</f>
        <v>Arabica</v>
      </c>
      <c r="O91" t="str" cm="1">
        <f t="array" ref="O91">_xlfn.IFS(J91="m","Medium",J91="l","Light",J91="d","Dark")</f>
        <v>Light</v>
      </c>
      <c r="P91" t="str">
        <f>_xlfn.XLOOKUP(orders[[#This Row],[Customer ID]],customers!$A$2:$A$1001,customers!$I$2:$I$1001,,0)</f>
        <v>No</v>
      </c>
    </row>
    <row r="92" spans="1:16" x14ac:dyDescent="0.3">
      <c r="A92" s="2" t="s">
        <v>996</v>
      </c>
      <c r="B92" s="6">
        <v>43971</v>
      </c>
      <c r="C92" s="2" t="s">
        <v>997</v>
      </c>
      <c r="D92" t="s">
        <v>6140</v>
      </c>
      <c r="E92" s="2">
        <v>4</v>
      </c>
      <c r="F92" s="2" t="str">
        <f>_xlfn.XLOOKUP(C92,customers!$A$1:$A$1001,customers!$B$1:$B$1001,,0,1)</f>
        <v>Loydie Langlais</v>
      </c>
      <c r="G92" s="2" t="str">
        <f>IF((_xlfn.XLOOKUP(C92,customers!$A$2:$A$1001,customers!$C$2:$C$1001,,,)=0),"",(_xlfn.XLOOKUP(C92,customers!$A$2:$A$1001,customers!$C$2:$C$1001,,0,)))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1"/>
        <v>51.8</v>
      </c>
      <c r="N92" t="str" cm="1">
        <f t="array" ref="N92">_xlfn.IFS(I92="rob","Robusta",I92="exc","Excesla",I92="ara","Arabica",I92="lib","Liberica")</f>
        <v>Arabica</v>
      </c>
      <c r="O92" t="str" cm="1">
        <f t="array" ref="O92">_xlfn.IFS(J92="m","Medium",J92="l","Light",J92="d","Dark")</f>
        <v>Light</v>
      </c>
      <c r="P92" t="str">
        <f>_xlfn.XLOOKUP(orders[[#This Row],[Customer ID]],customers!$A$2:$A$1001,customers!$I$2:$I$1001,,0)</f>
        <v>Yes</v>
      </c>
    </row>
    <row r="93" spans="1:16" x14ac:dyDescent="0.3">
      <c r="A93" s="2" t="s">
        <v>1001</v>
      </c>
      <c r="B93" s="6">
        <v>44137</v>
      </c>
      <c r="C93" s="2" t="s">
        <v>1002</v>
      </c>
      <c r="D93" t="s">
        <v>6175</v>
      </c>
      <c r="E93" s="2">
        <v>4</v>
      </c>
      <c r="F93" s="2" t="str">
        <f>_xlfn.XLOOKUP(C93,customers!$A$1:$A$1001,customers!$B$1:$B$1001,,0,1)</f>
        <v>Adham Greenhead</v>
      </c>
      <c r="G93" s="2" t="str">
        <f>IF((_xlfn.XLOOKUP(C93,customers!$A$2:$A$1001,customers!$C$2:$C$1001,,,)=0),"",(_xlfn.XLOOKUP(C93,customers!$A$2:$A$1001,customers!$C$2:$C$1001,,0,)))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1"/>
        <v>103.49999999999999</v>
      </c>
      <c r="N93" t="str" cm="1">
        <f t="array" ref="N93">_xlfn.IFS(I93="rob","Robusta",I93="exc","Excesla",I93="ara","Arabica",I93="lib","Liberica")</f>
        <v>Arabica</v>
      </c>
      <c r="O93" t="str" cm="1">
        <f t="array" ref="O93">_xlfn.IFS(J93="m","Medium",J93="l","Light",J93="d","Dark")</f>
        <v>Medium</v>
      </c>
      <c r="P93" t="str">
        <f>_xlfn.XLOOKUP(orders[[#This Row],[Customer ID]],customers!$A$2:$A$1001,customers!$I$2:$I$1001,,0)</f>
        <v>No</v>
      </c>
    </row>
    <row r="94" spans="1:16" x14ac:dyDescent="0.3">
      <c r="A94" s="2" t="s">
        <v>1007</v>
      </c>
      <c r="B94" s="6">
        <v>44037</v>
      </c>
      <c r="C94" s="2" t="s">
        <v>1008</v>
      </c>
      <c r="D94" t="s">
        <v>6171</v>
      </c>
      <c r="E94" s="2">
        <v>3</v>
      </c>
      <c r="F94" s="2" t="str">
        <f>_xlfn.XLOOKUP(C94,customers!$A$1:$A$1001,customers!$B$1:$B$1001,,0,1)</f>
        <v>Hamish MacSherry</v>
      </c>
      <c r="G94" s="2" t="str">
        <f>IF((_xlfn.XLOOKUP(C94,customers!$A$2:$A$1001,customers!$C$2:$C$1001,,,)=0),"",(_xlfn.XLOOKUP(C94,customers!$A$2:$A$1001,customers!$C$2:$C$1001,,0,)))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1"/>
        <v>44.55</v>
      </c>
      <c r="N94" t="str" cm="1">
        <f t="array" ref="N94">_xlfn.IFS(I94="rob","Robusta",I94="exc","Excesla",I94="ara","Arabica",I94="lib","Liberica")</f>
        <v>Excesla</v>
      </c>
      <c r="O94" t="str" cm="1">
        <f t="array" ref="O94">_xlfn.IFS(J94="m","Medium",J94="l","Light",J94="d","Dark")</f>
        <v>Light</v>
      </c>
      <c r="P94" t="str">
        <f>_xlfn.XLOOKUP(orders[[#This Row],[Customer ID]],customers!$A$2:$A$1001,customers!$I$2:$I$1001,,0)</f>
        <v>Yes</v>
      </c>
    </row>
    <row r="95" spans="1:16" x14ac:dyDescent="0.3">
      <c r="A95" s="2" t="s">
        <v>1012</v>
      </c>
      <c r="B95" s="6">
        <v>43538</v>
      </c>
      <c r="C95" s="2" t="s">
        <v>1013</v>
      </c>
      <c r="D95" t="s">
        <v>6176</v>
      </c>
      <c r="E95" s="2">
        <v>4</v>
      </c>
      <c r="F95" s="2" t="str">
        <f>_xlfn.XLOOKUP(C95,customers!$A$1:$A$1001,customers!$B$1:$B$1001,,0,1)</f>
        <v>Else Langcaster</v>
      </c>
      <c r="G95" s="2" t="str">
        <f>IF((_xlfn.XLOOKUP(C95,customers!$A$2:$A$1001,customers!$C$2:$C$1001,,,)=0),"",(_xlfn.XLOOKUP(C95,customers!$A$2:$A$1001,customers!$C$2:$C$1001,,0,)))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1"/>
        <v>35.64</v>
      </c>
      <c r="N95" t="str" cm="1">
        <f t="array" ref="N95">_xlfn.IFS(I95="rob","Robusta",I95="exc","Excesla",I95="ara","Arabica",I95="lib","Liberica")</f>
        <v>Excesla</v>
      </c>
      <c r="O95" t="str" cm="1">
        <f t="array" ref="O95">_xlfn.IFS(J95="m","Medium",J95="l","Light",J95="d","Dark")</f>
        <v>Light</v>
      </c>
      <c r="P95" t="str">
        <f>_xlfn.XLOOKUP(orders[[#This Row],[Customer ID]],customers!$A$2:$A$1001,customers!$I$2:$I$1001,,0)</f>
        <v>Yes</v>
      </c>
    </row>
    <row r="96" spans="1:16" x14ac:dyDescent="0.3">
      <c r="A96" s="2" t="s">
        <v>1018</v>
      </c>
      <c r="B96" s="6">
        <v>44014</v>
      </c>
      <c r="C96" s="2" t="s">
        <v>1019</v>
      </c>
      <c r="D96" t="s">
        <v>6154</v>
      </c>
      <c r="E96" s="2">
        <v>6</v>
      </c>
      <c r="F96" s="2" t="str">
        <f>_xlfn.XLOOKUP(C96,customers!$A$1:$A$1001,customers!$B$1:$B$1001,,0,1)</f>
        <v>Rudy Farquharson</v>
      </c>
      <c r="G96" s="2" t="str">
        <f>IF((_xlfn.XLOOKUP(C96,customers!$A$2:$A$1001,customers!$C$2:$C$1001,,,)=0),"",(_xlfn.XLOOKUP(C96,customers!$A$2:$A$1001,customers!$C$2:$C$1001,,0,)))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1"/>
        <v>17.91</v>
      </c>
      <c r="N96" t="str" cm="1">
        <f t="array" ref="N96">_xlfn.IFS(I96="rob","Robusta",I96="exc","Excesla",I96="ara","Arabica",I96="lib","Liberica")</f>
        <v>Arabica</v>
      </c>
      <c r="O96" t="str" cm="1">
        <f t="array" ref="O96">_xlfn.IFS(J96="m","Medium",J96="l","Light",J96="d","Dark")</f>
        <v>Dark</v>
      </c>
      <c r="P96" t="str">
        <f>_xlfn.XLOOKUP(orders[[#This Row],[Customer ID]],customers!$A$2:$A$1001,customers!$I$2:$I$1001,,0)</f>
        <v>Yes</v>
      </c>
    </row>
    <row r="97" spans="1:16" x14ac:dyDescent="0.3">
      <c r="A97" s="2" t="s">
        <v>1022</v>
      </c>
      <c r="B97" s="6">
        <v>43816</v>
      </c>
      <c r="C97" s="2" t="s">
        <v>1023</v>
      </c>
      <c r="D97" t="s">
        <v>6175</v>
      </c>
      <c r="E97" s="2">
        <v>6</v>
      </c>
      <c r="F97" s="2" t="str">
        <f>_xlfn.XLOOKUP(C97,customers!$A$1:$A$1001,customers!$B$1:$B$1001,,0,1)</f>
        <v>Norene Magauran</v>
      </c>
      <c r="G97" s="2" t="str">
        <f>IF((_xlfn.XLOOKUP(C97,customers!$A$2:$A$1001,customers!$C$2:$C$1001,,,)=0),"",(_xlfn.XLOOKUP(C97,customers!$A$2:$A$1001,customers!$C$2:$C$1001,,0,)))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1"/>
        <v>155.24999999999997</v>
      </c>
      <c r="N97" t="str" cm="1">
        <f t="array" ref="N97">_xlfn.IFS(I97="rob","Robusta",I97="exc","Excesla",I97="ara","Arabica",I97="lib","Liberica")</f>
        <v>Arabica</v>
      </c>
      <c r="O97" t="str" cm="1">
        <f t="array" ref="O97">_xlfn.IFS(J97="m","Medium",J97="l","Light",J97="d","Dark")</f>
        <v>Medium</v>
      </c>
      <c r="P97" t="str">
        <f>_xlfn.XLOOKUP(orders[[#This Row],[Customer ID]],customers!$A$2:$A$1001,customers!$I$2:$I$1001,,0)</f>
        <v>No</v>
      </c>
    </row>
    <row r="98" spans="1:16" x14ac:dyDescent="0.3">
      <c r="A98" s="2" t="s">
        <v>1027</v>
      </c>
      <c r="B98" s="6">
        <v>44171</v>
      </c>
      <c r="C98" s="2" t="s">
        <v>1028</v>
      </c>
      <c r="D98" t="s">
        <v>6154</v>
      </c>
      <c r="E98" s="2">
        <v>2</v>
      </c>
      <c r="F98" s="2" t="str">
        <f>_xlfn.XLOOKUP(C98,customers!$A$1:$A$1001,customers!$B$1:$B$1001,,0,1)</f>
        <v>Vicki Kirdsch</v>
      </c>
      <c r="G98" s="2" t="str">
        <f>IF((_xlfn.XLOOKUP(C98,customers!$A$2:$A$1001,customers!$C$2:$C$1001,,,)=0),"",(_xlfn.XLOOKUP(C98,customers!$A$2:$A$1001,customers!$C$2:$C$1001,,0,)))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1"/>
        <v>5.97</v>
      </c>
      <c r="N98" t="str" cm="1">
        <f t="array" ref="N98">_xlfn.IFS(I98="rob","Robusta",I98="exc","Excesla",I98="ara","Arabica",I98="lib","Liberica")</f>
        <v>Arabica</v>
      </c>
      <c r="O98" t="str" cm="1">
        <f t="array" ref="O98">_xlfn.IFS(J98="m","Medium",J98="l","Light",J98="d","Dark")</f>
        <v>Dark</v>
      </c>
      <c r="P98" t="str">
        <f>_xlfn.XLOOKUP(orders[[#This Row],[Customer ID]],customers!$A$2:$A$1001,customers!$I$2:$I$1001,,0)</f>
        <v>No</v>
      </c>
    </row>
    <row r="99" spans="1:16" x14ac:dyDescent="0.3">
      <c r="A99" s="2" t="s">
        <v>1032</v>
      </c>
      <c r="B99" s="6">
        <v>44259</v>
      </c>
      <c r="C99" s="2" t="s">
        <v>1033</v>
      </c>
      <c r="D99" t="s">
        <v>6157</v>
      </c>
      <c r="E99" s="2">
        <v>2</v>
      </c>
      <c r="F99" s="2" t="str">
        <f>_xlfn.XLOOKUP(C99,customers!$A$1:$A$1001,customers!$B$1:$B$1001,,0,1)</f>
        <v>Ilysa Whapple</v>
      </c>
      <c r="G99" s="2" t="str">
        <f>IF((_xlfn.XLOOKUP(C99,customers!$A$2:$A$1001,customers!$C$2:$C$1001,,,)=0),"",(_xlfn.XLOOKUP(C99,customers!$A$2:$A$1001,customers!$C$2:$C$1001,,0,)))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1"/>
        <v>13.5</v>
      </c>
      <c r="N99" t="str" cm="1">
        <f t="array" ref="N99">_xlfn.IFS(I99="rob","Robusta",I99="exc","Excesla",I99="ara","Arabica",I99="lib","Liberica")</f>
        <v>Arabica</v>
      </c>
      <c r="O99" t="str" cm="1">
        <f t="array" ref="O99">_xlfn.IFS(J99="m","Medium",J99="l","Light",J99="d","Dark")</f>
        <v>Medium</v>
      </c>
      <c r="P99" t="str">
        <f>_xlfn.XLOOKUP(orders[[#This Row],[Customer ID]],customers!$A$2:$A$1001,customers!$I$2:$I$1001,,0)</f>
        <v>No</v>
      </c>
    </row>
    <row r="100" spans="1:16" x14ac:dyDescent="0.3">
      <c r="A100" s="2" t="s">
        <v>1038</v>
      </c>
      <c r="B100" s="6">
        <v>44394</v>
      </c>
      <c r="C100" s="2" t="s">
        <v>1039</v>
      </c>
      <c r="D100" t="s">
        <v>6154</v>
      </c>
      <c r="E100" s="2">
        <v>1</v>
      </c>
      <c r="F100" s="2" t="str">
        <f>_xlfn.XLOOKUP(C100,customers!$A$1:$A$1001,customers!$B$1:$B$1001,,0,1)</f>
        <v>Ruy Cancellieri</v>
      </c>
      <c r="G100" s="2" t="str">
        <f>IF((_xlfn.XLOOKUP(C100,customers!$A$2:$A$1001,customers!$C$2:$C$1001,,,)=0),"",(_xlfn.XLOOKUP(C100,customers!$A$2:$A$1001,customers!$C$2:$C$1001,,0,)))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1"/>
        <v>2.9849999999999999</v>
      </c>
      <c r="N100" t="str" cm="1">
        <f t="array" ref="N100">_xlfn.IFS(I100="rob","Robusta",I100="exc","Excesla",I100="ara","Arabica",I100="lib","Liberica")</f>
        <v>Arabica</v>
      </c>
      <c r="O100" t="str" cm="1">
        <f t="array" ref="O100">_xlfn.IFS(J100="m","Medium",J100="l","Light",J100="d","Dark")</f>
        <v>Dark</v>
      </c>
      <c r="P100" t="str">
        <f>_xlfn.XLOOKUP(orders[[#This Row],[Customer ID]],customers!$A$2:$A$1001,customers!$I$2:$I$1001,,0)</f>
        <v>No</v>
      </c>
    </row>
    <row r="101" spans="1:16" x14ac:dyDescent="0.3">
      <c r="A101" s="2" t="s">
        <v>1043</v>
      </c>
      <c r="B101" s="6">
        <v>44139</v>
      </c>
      <c r="C101" s="2" t="s">
        <v>1044</v>
      </c>
      <c r="D101" t="s">
        <v>6159</v>
      </c>
      <c r="E101" s="2">
        <v>3</v>
      </c>
      <c r="F101" s="2" t="str">
        <f>_xlfn.XLOOKUP(C101,customers!$A$1:$A$1001,customers!$B$1:$B$1001,,0,1)</f>
        <v>Aube Follett</v>
      </c>
      <c r="G101" s="2" t="str">
        <f>IF((_xlfn.XLOOKUP(C101,customers!$A$2:$A$1001,customers!$C$2:$C$1001,,,)=0),"",(_xlfn.XLOOKUP(C101,customers!$A$2:$A$1001,customers!$C$2:$C$1001,,0,)))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1"/>
        <v>13.095000000000001</v>
      </c>
      <c r="N101" t="str" cm="1">
        <f t="array" ref="N101">_xlfn.IFS(I101="rob","Robusta",I101="exc","Excesla",I101="ara","Arabica",I101="lib","Liberica")</f>
        <v>Liberica</v>
      </c>
      <c r="O101" t="str" cm="1">
        <f t="array" ref="O101">_xlfn.IFS(J101="m","Medium",J101="l","Light",J101="d","Dark")</f>
        <v>Medium</v>
      </c>
      <c r="P101" t="str">
        <f>_xlfn.XLOOKUP(orders[[#This Row],[Customer ID]],customers!$A$2:$A$1001,customers!$I$2:$I$1001,,0)</f>
        <v>Yes</v>
      </c>
    </row>
    <row r="102" spans="1:16" x14ac:dyDescent="0.3">
      <c r="A102" s="2" t="s">
        <v>1048</v>
      </c>
      <c r="B102" s="6">
        <v>44291</v>
      </c>
      <c r="C102" s="2" t="s">
        <v>1049</v>
      </c>
      <c r="D102" t="s">
        <v>6167</v>
      </c>
      <c r="E102" s="2">
        <v>2</v>
      </c>
      <c r="F102" s="2" t="str">
        <f>_xlfn.XLOOKUP(C102,customers!$A$1:$A$1001,customers!$B$1:$B$1001,,0,1)</f>
        <v>Rudiger Di Bartolomeo</v>
      </c>
      <c r="G102" s="2" t="str">
        <f>IF((_xlfn.XLOOKUP(C102,customers!$A$2:$A$1001,customers!$C$2:$C$1001,,,)=0),"",(_xlfn.XLOOKUP(C102,customers!$A$2:$A$1001,customers!$C$2:$C$1001,,0,)))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1"/>
        <v>7.77</v>
      </c>
      <c r="N102" t="str" cm="1">
        <f t="array" ref="N102">_xlfn.IFS(I102="rob","Robusta",I102="exc","Excesla",I102="ara","Arabica",I102="lib","Liberica")</f>
        <v>Arabica</v>
      </c>
      <c r="O102" t="str" cm="1">
        <f t="array" ref="O102">_xlfn.IFS(J102="m","Medium",J102="l","Light",J102="d","Dark")</f>
        <v>Light</v>
      </c>
      <c r="P102" t="str">
        <f>_xlfn.XLOOKUP(orders[[#This Row],[Customer ID]],customers!$A$2:$A$1001,customers!$I$2:$I$1001,,0)</f>
        <v>Yes</v>
      </c>
    </row>
    <row r="103" spans="1:16" x14ac:dyDescent="0.3">
      <c r="A103" s="2" t="s">
        <v>1053</v>
      </c>
      <c r="B103" s="6">
        <v>43891</v>
      </c>
      <c r="C103" s="2" t="s">
        <v>1054</v>
      </c>
      <c r="D103" t="s">
        <v>6165</v>
      </c>
      <c r="E103" s="2">
        <v>5</v>
      </c>
      <c r="F103" s="2" t="str">
        <f>_xlfn.XLOOKUP(C103,customers!$A$1:$A$1001,customers!$B$1:$B$1001,,0,1)</f>
        <v>Nickey Youles</v>
      </c>
      <c r="G103" s="2" t="str">
        <f>IF((_xlfn.XLOOKUP(C103,customers!$A$2:$A$1001,customers!$C$2:$C$1001,,,)=0),"",(_xlfn.XLOOKUP(C103,customers!$A$2:$A$1001,customers!$C$2:$C$1001,,0,)))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1"/>
        <v>148.92499999999998</v>
      </c>
      <c r="N103" t="str" cm="1">
        <f t="array" ref="N103">_xlfn.IFS(I103="rob","Robusta",I103="exc","Excesla",I103="ara","Arabica",I103="lib","Liberica")</f>
        <v>Liberica</v>
      </c>
      <c r="O103" t="str" cm="1">
        <f t="array" ref="O103">_xlfn.IFS(J103="m","Medium",J103="l","Light",J103="d","Dark")</f>
        <v>Dark</v>
      </c>
      <c r="P103" t="str">
        <f>_xlfn.XLOOKUP(orders[[#This Row],[Customer ID]],customers!$A$2:$A$1001,customers!$I$2:$I$1001,,0)</f>
        <v>Yes</v>
      </c>
    </row>
    <row r="104" spans="1:16" x14ac:dyDescent="0.3">
      <c r="A104" s="2" t="s">
        <v>1059</v>
      </c>
      <c r="B104" s="6">
        <v>44488</v>
      </c>
      <c r="C104" s="2" t="s">
        <v>1060</v>
      </c>
      <c r="D104" t="s">
        <v>6143</v>
      </c>
      <c r="E104" s="2">
        <v>3</v>
      </c>
      <c r="F104" s="2" t="str">
        <f>_xlfn.XLOOKUP(C104,customers!$A$1:$A$1001,customers!$B$1:$B$1001,,0,1)</f>
        <v>Dyanna Aizikovitz</v>
      </c>
      <c r="G104" s="2" t="str">
        <f>IF((_xlfn.XLOOKUP(C104,customers!$A$2:$A$1001,customers!$C$2:$C$1001,,,)=0),"",(_xlfn.XLOOKUP(C104,customers!$A$2:$A$1001,customers!$C$2:$C$1001,,0,)))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1"/>
        <v>38.849999999999994</v>
      </c>
      <c r="N104" t="str" cm="1">
        <f t="array" ref="N104">_xlfn.IFS(I104="rob","Robusta",I104="exc","Excesla",I104="ara","Arabica",I104="lib","Liberica")</f>
        <v>Liberica</v>
      </c>
      <c r="O104" t="str" cm="1">
        <f t="array" ref="O104">_xlfn.IFS(J104="m","Medium",J104="l","Light",J104="d","Dark")</f>
        <v>Dark</v>
      </c>
      <c r="P104" t="str">
        <f>_xlfn.XLOOKUP(orders[[#This Row],[Customer ID]],customers!$A$2:$A$1001,customers!$I$2:$I$1001,,0)</f>
        <v>Yes</v>
      </c>
    </row>
    <row r="105" spans="1:16" x14ac:dyDescent="0.3">
      <c r="A105" s="2" t="s">
        <v>1065</v>
      </c>
      <c r="B105" s="6">
        <v>44750</v>
      </c>
      <c r="C105" s="2" t="s">
        <v>1066</v>
      </c>
      <c r="D105" t="s">
        <v>6174</v>
      </c>
      <c r="E105" s="2">
        <v>4</v>
      </c>
      <c r="F105" s="2" t="str">
        <f>_xlfn.XLOOKUP(C105,customers!$A$1:$A$1001,customers!$B$1:$B$1001,,0,1)</f>
        <v>Bram Revel</v>
      </c>
      <c r="G105" s="2" t="str">
        <f>IF((_xlfn.XLOOKUP(C105,customers!$A$2:$A$1001,customers!$C$2:$C$1001,,,)=0),"",(_xlfn.XLOOKUP(C105,customers!$A$2:$A$1001,customers!$C$2:$C$1001,,0,)))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1"/>
        <v>11.94</v>
      </c>
      <c r="N105" t="str" cm="1">
        <f t="array" ref="N105">_xlfn.IFS(I105="rob","Robusta",I105="exc","Excesla",I105="ara","Arabica",I105="lib","Liberica")</f>
        <v>Robusta</v>
      </c>
      <c r="O105" t="str" cm="1">
        <f t="array" ref="O105">_xlfn.IFS(J105="m","Medium",J105="l","Light",J105="d","Dark")</f>
        <v>Medium</v>
      </c>
      <c r="P105" t="str">
        <f>_xlfn.XLOOKUP(orders[[#This Row],[Customer ID]],customers!$A$2:$A$1001,customers!$I$2:$I$1001,,0)</f>
        <v>No</v>
      </c>
    </row>
    <row r="106" spans="1:16" x14ac:dyDescent="0.3">
      <c r="A106" s="2" t="s">
        <v>1071</v>
      </c>
      <c r="B106" s="6">
        <v>43694</v>
      </c>
      <c r="C106" s="2" t="s">
        <v>1072</v>
      </c>
      <c r="D106" t="s">
        <v>6162</v>
      </c>
      <c r="E106" s="2">
        <v>6</v>
      </c>
      <c r="F106" s="2" t="str">
        <f>_xlfn.XLOOKUP(C106,customers!$A$1:$A$1001,customers!$B$1:$B$1001,,0,1)</f>
        <v>Emiline Priddis</v>
      </c>
      <c r="G106" s="2" t="str">
        <f>IF((_xlfn.XLOOKUP(C106,customers!$A$2:$A$1001,customers!$C$2:$C$1001,,,)=0),"",(_xlfn.XLOOKUP(C106,customers!$A$2:$A$1001,customers!$C$2:$C$1001,,0,)))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1"/>
        <v>87.300000000000011</v>
      </c>
      <c r="N106" t="str" cm="1">
        <f t="array" ref="N106">_xlfn.IFS(I106="rob","Robusta",I106="exc","Excesla",I106="ara","Arabica",I106="lib","Liberica")</f>
        <v>Liberica</v>
      </c>
      <c r="O106" t="str" cm="1">
        <f t="array" ref="O106">_xlfn.IFS(J106="m","Medium",J106="l","Light",J106="d","Dark")</f>
        <v>Medium</v>
      </c>
      <c r="P106" t="str">
        <f>_xlfn.XLOOKUP(orders[[#This Row],[Customer ID]],customers!$A$2:$A$1001,customers!$I$2:$I$1001,,0)</f>
        <v>No</v>
      </c>
    </row>
    <row r="107" spans="1:16" x14ac:dyDescent="0.3">
      <c r="A107" s="2" t="s">
        <v>1077</v>
      </c>
      <c r="B107" s="6">
        <v>43982</v>
      </c>
      <c r="C107" s="2" t="s">
        <v>1078</v>
      </c>
      <c r="D107" t="s">
        <v>6157</v>
      </c>
      <c r="E107" s="2">
        <v>6</v>
      </c>
      <c r="F107" s="2" t="str">
        <f>_xlfn.XLOOKUP(C107,customers!$A$1:$A$1001,customers!$B$1:$B$1001,,0,1)</f>
        <v>Queenie Veel</v>
      </c>
      <c r="G107" s="2" t="str">
        <f>IF((_xlfn.XLOOKUP(C107,customers!$A$2:$A$1001,customers!$C$2:$C$1001,,,)=0),"",(_xlfn.XLOOKUP(C107,customers!$A$2:$A$1001,customers!$C$2:$C$1001,,0,)))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1"/>
        <v>40.5</v>
      </c>
      <c r="N107" t="str" cm="1">
        <f t="array" ref="N107">_xlfn.IFS(I107="rob","Robusta",I107="exc","Excesla",I107="ara","Arabica",I107="lib","Liberica")</f>
        <v>Arabica</v>
      </c>
      <c r="O107" t="str" cm="1">
        <f t="array" ref="O107">_xlfn.IFS(J107="m","Medium",J107="l","Light",J107="d","Dark")</f>
        <v>Medium</v>
      </c>
      <c r="P107" t="str">
        <f>_xlfn.XLOOKUP(orders[[#This Row],[Customer ID]],customers!$A$2:$A$1001,customers!$I$2:$I$1001,,0)</f>
        <v>Yes</v>
      </c>
    </row>
    <row r="108" spans="1:16" x14ac:dyDescent="0.3">
      <c r="A108" s="2" t="s">
        <v>1083</v>
      </c>
      <c r="B108" s="6">
        <v>43956</v>
      </c>
      <c r="C108" s="2" t="s">
        <v>1084</v>
      </c>
      <c r="D108" t="s">
        <v>6183</v>
      </c>
      <c r="E108" s="2">
        <v>2</v>
      </c>
      <c r="F108" s="2" t="str">
        <f>_xlfn.XLOOKUP(C108,customers!$A$1:$A$1001,customers!$B$1:$B$1001,,0,1)</f>
        <v>Lind Conyers</v>
      </c>
      <c r="G108" s="2" t="str">
        <f>IF((_xlfn.XLOOKUP(C108,customers!$A$2:$A$1001,customers!$C$2:$C$1001,,,)=0),"",(_xlfn.XLOOKUP(C108,customers!$A$2:$A$1001,customers!$C$2:$C$1001,,0,)))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1"/>
        <v>24.3</v>
      </c>
      <c r="N108" t="str" cm="1">
        <f t="array" ref="N108">_xlfn.IFS(I108="rob","Robusta",I108="exc","Excesla",I108="ara","Arabica",I108="lib","Liberica")</f>
        <v>Excesla</v>
      </c>
      <c r="O108" t="str" cm="1">
        <f t="array" ref="O108">_xlfn.IFS(J108="m","Medium",J108="l","Light",J108="d","Dark")</f>
        <v>Dark</v>
      </c>
      <c r="P108" t="str">
        <f>_xlfn.XLOOKUP(orders[[#This Row],[Customer ID]],customers!$A$2:$A$1001,customers!$I$2:$I$1001,,0)</f>
        <v>No</v>
      </c>
    </row>
    <row r="109" spans="1:16" x14ac:dyDescent="0.3">
      <c r="A109" s="2" t="s">
        <v>1089</v>
      </c>
      <c r="B109" s="6">
        <v>43569</v>
      </c>
      <c r="C109" s="2" t="s">
        <v>1090</v>
      </c>
      <c r="D109" t="s">
        <v>6146</v>
      </c>
      <c r="E109" s="2">
        <v>3</v>
      </c>
      <c r="F109" s="2" t="str">
        <f>_xlfn.XLOOKUP(C109,customers!$A$1:$A$1001,customers!$B$1:$B$1001,,0,1)</f>
        <v>Pen Wye</v>
      </c>
      <c r="G109" s="2" t="str">
        <f>IF((_xlfn.XLOOKUP(C109,customers!$A$2:$A$1001,customers!$C$2:$C$1001,,,)=0),"",(_xlfn.XLOOKUP(C109,customers!$A$2:$A$1001,customers!$C$2:$C$1001,,0,)))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1"/>
        <v>17.91</v>
      </c>
      <c r="N109" t="str" cm="1">
        <f t="array" ref="N109">_xlfn.IFS(I109="rob","Robusta",I109="exc","Excesla",I109="ara","Arabica",I109="lib","Liberica")</f>
        <v>Robusta</v>
      </c>
      <c r="O109" t="str" cm="1">
        <f t="array" ref="O109">_xlfn.IFS(J109="m","Medium",J109="l","Light",J109="d","Dark")</f>
        <v>Medium</v>
      </c>
      <c r="P109" t="str">
        <f>_xlfn.XLOOKUP(orders[[#This Row],[Customer ID]],customers!$A$2:$A$1001,customers!$I$2:$I$1001,,0)</f>
        <v>Yes</v>
      </c>
    </row>
    <row r="110" spans="1:16" x14ac:dyDescent="0.3">
      <c r="A110" s="2" t="s">
        <v>1095</v>
      </c>
      <c r="B110" s="6">
        <v>44041</v>
      </c>
      <c r="C110" s="2" t="s">
        <v>1096</v>
      </c>
      <c r="D110" t="s">
        <v>6157</v>
      </c>
      <c r="E110" s="2">
        <v>4</v>
      </c>
      <c r="F110" s="2" t="str">
        <f>_xlfn.XLOOKUP(C110,customers!$A$1:$A$1001,customers!$B$1:$B$1001,,0,1)</f>
        <v>Isahella Hagland</v>
      </c>
      <c r="G110" s="2" t="str">
        <f>IF((_xlfn.XLOOKUP(C110,customers!$A$2:$A$1001,customers!$C$2:$C$1001,,,)=0),"",(_xlfn.XLOOKUP(C110,customers!$A$2:$A$1001,customers!$C$2:$C$1001,,0,)))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1"/>
        <v>27</v>
      </c>
      <c r="N110" t="str" cm="1">
        <f t="array" ref="N110">_xlfn.IFS(I110="rob","Robusta",I110="exc","Excesla",I110="ara","Arabica",I110="lib","Liberica")</f>
        <v>Arabica</v>
      </c>
      <c r="O110" t="str" cm="1">
        <f t="array" ref="O110">_xlfn.IFS(J110="m","Medium",J110="l","Light",J110="d","Dark")</f>
        <v>Medium</v>
      </c>
      <c r="P110" t="str">
        <f>_xlfn.XLOOKUP(orders[[#This Row],[Customer ID]],customers!$A$2:$A$1001,customers!$I$2:$I$1001,,0)</f>
        <v>No</v>
      </c>
    </row>
    <row r="111" spans="1:16" x14ac:dyDescent="0.3">
      <c r="A111" s="2" t="s">
        <v>1100</v>
      </c>
      <c r="B111" s="6">
        <v>43811</v>
      </c>
      <c r="C111" s="2" t="s">
        <v>1101</v>
      </c>
      <c r="D111" t="s">
        <v>6169</v>
      </c>
      <c r="E111" s="2">
        <v>1</v>
      </c>
      <c r="F111" s="2" t="str">
        <f>_xlfn.XLOOKUP(C111,customers!$A$1:$A$1001,customers!$B$1:$B$1001,,0,1)</f>
        <v>Terry Sheryn</v>
      </c>
      <c r="G111" s="2" t="str">
        <f>IF((_xlfn.XLOOKUP(C111,customers!$A$2:$A$1001,customers!$C$2:$C$1001,,,)=0),"",(_xlfn.XLOOKUP(C111,customers!$A$2:$A$1001,customers!$C$2:$C$1001,,0,)))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1"/>
        <v>7.77</v>
      </c>
      <c r="N111" t="str" cm="1">
        <f t="array" ref="N111">_xlfn.IFS(I111="rob","Robusta",I111="exc","Excesla",I111="ara","Arabica",I111="lib","Liberica")</f>
        <v>Liberica</v>
      </c>
      <c r="O111" t="str" cm="1">
        <f t="array" ref="O111">_xlfn.IFS(J111="m","Medium",J111="l","Light",J111="d","Dark")</f>
        <v>Dark</v>
      </c>
      <c r="P111" t="str">
        <f>_xlfn.XLOOKUP(orders[[#This Row],[Customer ID]],customers!$A$2:$A$1001,customers!$I$2:$I$1001,,0)</f>
        <v>Yes</v>
      </c>
    </row>
    <row r="112" spans="1:16" x14ac:dyDescent="0.3">
      <c r="A112" s="2" t="s">
        <v>1106</v>
      </c>
      <c r="B112" s="6">
        <v>44727</v>
      </c>
      <c r="C112" s="2" t="s">
        <v>1107</v>
      </c>
      <c r="D112" t="s">
        <v>6184</v>
      </c>
      <c r="E112" s="2">
        <v>3</v>
      </c>
      <c r="F112" s="2" t="str">
        <f>_xlfn.XLOOKUP(C112,customers!$A$1:$A$1001,customers!$B$1:$B$1001,,0,1)</f>
        <v>Marie-jeanne Redgrave</v>
      </c>
      <c r="G112" s="2" t="str">
        <f>IF((_xlfn.XLOOKUP(C112,customers!$A$2:$A$1001,customers!$C$2:$C$1001,,,)=0),"",(_xlfn.XLOOKUP(C112,customers!$A$2:$A$1001,customers!$C$2:$C$1001,,0,)))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1"/>
        <v>13.365</v>
      </c>
      <c r="N112" t="str" cm="1">
        <f t="array" ref="N112">_xlfn.IFS(I112="rob","Robusta",I112="exc","Excesla",I112="ara","Arabica",I112="lib","Liberica")</f>
        <v>Excesla</v>
      </c>
      <c r="O112" t="str" cm="1">
        <f t="array" ref="O112">_xlfn.IFS(J112="m","Medium",J112="l","Light",J112="d","Dark")</f>
        <v>Light</v>
      </c>
      <c r="P112" t="str">
        <f>_xlfn.XLOOKUP(orders[[#This Row],[Customer ID]],customers!$A$2:$A$1001,customers!$I$2:$I$1001,,0)</f>
        <v>Yes</v>
      </c>
    </row>
    <row r="113" spans="1:16" x14ac:dyDescent="0.3">
      <c r="A113" s="2" t="s">
        <v>1112</v>
      </c>
      <c r="B113" s="6">
        <v>43642</v>
      </c>
      <c r="C113" s="2" t="s">
        <v>1113</v>
      </c>
      <c r="D113" t="s">
        <v>6172</v>
      </c>
      <c r="E113" s="2">
        <v>5</v>
      </c>
      <c r="F113" s="2" t="str">
        <f>_xlfn.XLOOKUP(C113,customers!$A$1:$A$1001,customers!$B$1:$B$1001,,0,1)</f>
        <v>Betty Fominov</v>
      </c>
      <c r="G113" s="2" t="str">
        <f>IF((_xlfn.XLOOKUP(C113,customers!$A$2:$A$1001,customers!$C$2:$C$1001,,,)=0),"",(_xlfn.XLOOKUP(C113,customers!$A$2:$A$1001,customers!$C$2:$C$1001,,0,)))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1"/>
        <v>26.849999999999994</v>
      </c>
      <c r="N113" t="str" cm="1">
        <f t="array" ref="N113">_xlfn.IFS(I113="rob","Robusta",I113="exc","Excesla",I113="ara","Arabica",I113="lib","Liberica")</f>
        <v>Robusta</v>
      </c>
      <c r="O113" t="str" cm="1">
        <f t="array" ref="O113">_xlfn.IFS(J113="m","Medium",J113="l","Light",J113="d","Dark")</f>
        <v>Dark</v>
      </c>
      <c r="P113" t="str">
        <f>_xlfn.XLOOKUP(orders[[#This Row],[Customer ID]],customers!$A$2:$A$1001,customers!$I$2:$I$1001,,0)</f>
        <v>No</v>
      </c>
    </row>
    <row r="114" spans="1:16" x14ac:dyDescent="0.3">
      <c r="A114" s="2" t="s">
        <v>1117</v>
      </c>
      <c r="B114" s="6">
        <v>44481</v>
      </c>
      <c r="C114" s="2" t="s">
        <v>1118</v>
      </c>
      <c r="D114" t="s">
        <v>6155</v>
      </c>
      <c r="E114" s="2">
        <v>1</v>
      </c>
      <c r="F114" s="2" t="str">
        <f>_xlfn.XLOOKUP(C114,customers!$A$1:$A$1001,customers!$B$1:$B$1001,,0,1)</f>
        <v>Shawnee Critchlow</v>
      </c>
      <c r="G114" s="2" t="str">
        <f>IF((_xlfn.XLOOKUP(C114,customers!$A$2:$A$1001,customers!$C$2:$C$1001,,,)=0),"",(_xlfn.XLOOKUP(C114,customers!$A$2:$A$1001,customers!$C$2:$C$1001,,0,)))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1"/>
        <v>11.25</v>
      </c>
      <c r="N114" t="str" cm="1">
        <f t="array" ref="N114">_xlfn.IFS(I114="rob","Robusta",I114="exc","Excesla",I114="ara","Arabica",I114="lib","Liberica")</f>
        <v>Arabica</v>
      </c>
      <c r="O114" t="str" cm="1">
        <f t="array" ref="O114">_xlfn.IFS(J114="m","Medium",J114="l","Light",J114="d","Dark")</f>
        <v>Medium</v>
      </c>
      <c r="P114" t="str">
        <f>_xlfn.XLOOKUP(orders[[#This Row],[Customer ID]],customers!$A$2:$A$1001,customers!$I$2:$I$1001,,0)</f>
        <v>No</v>
      </c>
    </row>
    <row r="115" spans="1:16" x14ac:dyDescent="0.3">
      <c r="A115" s="2" t="s">
        <v>1123</v>
      </c>
      <c r="B115" s="6">
        <v>43556</v>
      </c>
      <c r="C115" s="2" t="s">
        <v>1124</v>
      </c>
      <c r="D115" t="s">
        <v>6162</v>
      </c>
      <c r="E115" s="2">
        <v>1</v>
      </c>
      <c r="F115" s="2" t="str">
        <f>_xlfn.XLOOKUP(C115,customers!$A$1:$A$1001,customers!$B$1:$B$1001,,0,1)</f>
        <v>Merrel Steptow</v>
      </c>
      <c r="G115" s="2" t="str">
        <f>IF((_xlfn.XLOOKUP(C115,customers!$A$2:$A$1001,customers!$C$2:$C$1001,,,)=0),"",(_xlfn.XLOOKUP(C115,customers!$A$2:$A$1001,customers!$C$2:$C$1001,,0,)))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1"/>
        <v>14.55</v>
      </c>
      <c r="N115" t="str" cm="1">
        <f t="array" ref="N115">_xlfn.IFS(I115="rob","Robusta",I115="exc","Excesla",I115="ara","Arabica",I115="lib","Liberica")</f>
        <v>Liberica</v>
      </c>
      <c r="O115" t="str" cm="1">
        <f t="array" ref="O115">_xlfn.IFS(J115="m","Medium",J115="l","Light",J115="d","Dark")</f>
        <v>Medium</v>
      </c>
      <c r="P115" t="str">
        <f>_xlfn.XLOOKUP(orders[[#This Row],[Customer ID]],customers!$A$2:$A$1001,customers!$I$2:$I$1001,,0)</f>
        <v>No</v>
      </c>
    </row>
    <row r="116" spans="1:16" x14ac:dyDescent="0.3">
      <c r="A116" s="2" t="s">
        <v>1129</v>
      </c>
      <c r="B116" s="6">
        <v>44265</v>
      </c>
      <c r="C116" s="2" t="s">
        <v>1130</v>
      </c>
      <c r="D116" t="s">
        <v>6178</v>
      </c>
      <c r="E116" s="2">
        <v>4</v>
      </c>
      <c r="F116" s="2" t="str">
        <f>_xlfn.XLOOKUP(C116,customers!$A$1:$A$1001,customers!$B$1:$B$1001,,0,1)</f>
        <v>Carmina Hubbuck</v>
      </c>
      <c r="G116" s="2" t="str">
        <f>IF((_xlfn.XLOOKUP(C116,customers!$A$2:$A$1001,customers!$C$2:$C$1001,,,)=0),"",(_xlfn.XLOOKUP(C116,customers!$A$2:$A$1001,customers!$C$2:$C$1001,,0,)))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1"/>
        <v>14.339999999999998</v>
      </c>
      <c r="N116" t="str" cm="1">
        <f t="array" ref="N116">_xlfn.IFS(I116="rob","Robusta",I116="exc","Excesla",I116="ara","Arabica",I116="lib","Liberica")</f>
        <v>Robusta</v>
      </c>
      <c r="O116" t="str" cm="1">
        <f t="array" ref="O116">_xlfn.IFS(J116="m","Medium",J116="l","Light",J116="d","Dark")</f>
        <v>Light</v>
      </c>
      <c r="P116" t="str">
        <f>_xlfn.XLOOKUP(orders[[#This Row],[Customer ID]],customers!$A$2:$A$1001,customers!$I$2:$I$1001,,0)</f>
        <v>No</v>
      </c>
    </row>
    <row r="117" spans="1:16" x14ac:dyDescent="0.3">
      <c r="A117" s="2" t="s">
        <v>1134</v>
      </c>
      <c r="B117" s="6">
        <v>43693</v>
      </c>
      <c r="C117" s="2" t="s">
        <v>1135</v>
      </c>
      <c r="D117" t="s">
        <v>6170</v>
      </c>
      <c r="E117" s="2">
        <v>1</v>
      </c>
      <c r="F117" s="2" t="str">
        <f>_xlfn.XLOOKUP(C117,customers!$A$1:$A$1001,customers!$B$1:$B$1001,,0,1)</f>
        <v>Ingeberg Mulliner</v>
      </c>
      <c r="G117" s="2" t="str">
        <f>IF((_xlfn.XLOOKUP(C117,customers!$A$2:$A$1001,customers!$C$2:$C$1001,,,)=0),"",(_xlfn.XLOOKUP(C117,customers!$A$2:$A$1001,customers!$C$2:$C$1001,,0,)))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1"/>
        <v>15.85</v>
      </c>
      <c r="N117" t="str" cm="1">
        <f t="array" ref="N117">_xlfn.IFS(I117="rob","Robusta",I117="exc","Excesla",I117="ara","Arabica",I117="lib","Liberica")</f>
        <v>Liberica</v>
      </c>
      <c r="O117" t="str" cm="1">
        <f t="array" ref="O117">_xlfn.IFS(J117="m","Medium",J117="l","Light",J117="d","Dark")</f>
        <v>Light</v>
      </c>
      <c r="P117" t="str">
        <f>_xlfn.XLOOKUP(orders[[#This Row],[Customer ID]],customers!$A$2:$A$1001,customers!$I$2:$I$1001,,0)</f>
        <v>No</v>
      </c>
    </row>
    <row r="118" spans="1:16" x14ac:dyDescent="0.3">
      <c r="A118" s="2" t="s">
        <v>1140</v>
      </c>
      <c r="B118" s="6">
        <v>44054</v>
      </c>
      <c r="C118" s="2" t="s">
        <v>1141</v>
      </c>
      <c r="D118" t="s">
        <v>6145</v>
      </c>
      <c r="E118" s="2">
        <v>4</v>
      </c>
      <c r="F118" s="2" t="str">
        <f>_xlfn.XLOOKUP(C118,customers!$A$1:$A$1001,customers!$B$1:$B$1001,,0,1)</f>
        <v>Geneva Standley</v>
      </c>
      <c r="G118" s="2" t="str">
        <f>IF((_xlfn.XLOOKUP(C118,customers!$A$2:$A$1001,customers!$C$2:$C$1001,,,)=0),"",(_xlfn.XLOOKUP(C118,customers!$A$2:$A$1001,customers!$C$2:$C$1001,,0,)))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1"/>
        <v>19.02</v>
      </c>
      <c r="N118" t="str" cm="1">
        <f t="array" ref="N118">_xlfn.IFS(I118="rob","Robusta",I118="exc","Excesla",I118="ara","Arabica",I118="lib","Liberica")</f>
        <v>Liberica</v>
      </c>
      <c r="O118" t="str" cm="1">
        <f t="array" ref="O118">_xlfn.IFS(J118="m","Medium",J118="l","Light",J118="d","Dark")</f>
        <v>Light</v>
      </c>
      <c r="P118" t="str">
        <f>_xlfn.XLOOKUP(orders[[#This Row],[Customer ID]],customers!$A$2:$A$1001,customers!$I$2:$I$1001,,0)</f>
        <v>Yes</v>
      </c>
    </row>
    <row r="119" spans="1:16" x14ac:dyDescent="0.3">
      <c r="A119" s="2" t="s">
        <v>1146</v>
      </c>
      <c r="B119" s="6">
        <v>44656</v>
      </c>
      <c r="C119" s="2" t="s">
        <v>1147</v>
      </c>
      <c r="D119" t="s">
        <v>6161</v>
      </c>
      <c r="E119" s="2">
        <v>4</v>
      </c>
      <c r="F119" s="2" t="str">
        <f>_xlfn.XLOOKUP(C119,customers!$A$1:$A$1001,customers!$B$1:$B$1001,,0,1)</f>
        <v>Brook Drage</v>
      </c>
      <c r="G119" s="2" t="str">
        <f>IF((_xlfn.XLOOKUP(C119,customers!$A$2:$A$1001,customers!$C$2:$C$1001,,,)=0),"",(_xlfn.XLOOKUP(C119,customers!$A$2:$A$1001,customers!$C$2:$C$1001,,0,)))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1"/>
        <v>38.04</v>
      </c>
      <c r="N119" t="str" cm="1">
        <f t="array" ref="N119">_xlfn.IFS(I119="rob","Robusta",I119="exc","Excesla",I119="ara","Arabica",I119="lib","Liberica")</f>
        <v>Liberica</v>
      </c>
      <c r="O119" t="str" cm="1">
        <f t="array" ref="O119">_xlfn.IFS(J119="m","Medium",J119="l","Light",J119="d","Dark")</f>
        <v>Light</v>
      </c>
      <c r="P119" t="str">
        <f>_xlfn.XLOOKUP(orders[[#This Row],[Customer ID]],customers!$A$2:$A$1001,customers!$I$2:$I$1001,,0)</f>
        <v>No</v>
      </c>
    </row>
    <row r="120" spans="1:16" x14ac:dyDescent="0.3">
      <c r="A120" s="2" t="s">
        <v>1152</v>
      </c>
      <c r="B120" s="6">
        <v>43760</v>
      </c>
      <c r="C120" s="2" t="s">
        <v>1153</v>
      </c>
      <c r="D120" t="s">
        <v>6144</v>
      </c>
      <c r="E120" s="2">
        <v>3</v>
      </c>
      <c r="F120" s="2" t="str">
        <f>_xlfn.XLOOKUP(C120,customers!$A$1:$A$1001,customers!$B$1:$B$1001,,0,1)</f>
        <v>Muffin Yallop</v>
      </c>
      <c r="G120" s="2" t="str">
        <f>IF((_xlfn.XLOOKUP(C120,customers!$A$2:$A$1001,customers!$C$2:$C$1001,,,)=0),"",(_xlfn.XLOOKUP(C120,customers!$A$2:$A$1001,customers!$C$2:$C$1001,,0,)))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1"/>
        <v>21.87</v>
      </c>
      <c r="N120" t="str" cm="1">
        <f t="array" ref="N120">_xlfn.IFS(I120="rob","Robusta",I120="exc","Excesla",I120="ara","Arabica",I120="lib","Liberica")</f>
        <v>Excesla</v>
      </c>
      <c r="O120" t="str" cm="1">
        <f t="array" ref="O120">_xlfn.IFS(J120="m","Medium",J120="l","Light",J120="d","Dark")</f>
        <v>Dark</v>
      </c>
      <c r="P120" t="str">
        <f>_xlfn.XLOOKUP(orders[[#This Row],[Customer ID]],customers!$A$2:$A$1001,customers!$I$2:$I$1001,,0)</f>
        <v>Yes</v>
      </c>
    </row>
    <row r="121" spans="1:16" x14ac:dyDescent="0.3">
      <c r="A121" s="2" t="s">
        <v>1158</v>
      </c>
      <c r="B121" s="6">
        <v>44471</v>
      </c>
      <c r="C121" s="2" t="s">
        <v>1159</v>
      </c>
      <c r="D121" t="s">
        <v>6156</v>
      </c>
      <c r="E121" s="2">
        <v>1</v>
      </c>
      <c r="F121" s="2" t="str">
        <f>_xlfn.XLOOKUP(C121,customers!$A$1:$A$1001,customers!$B$1:$B$1001,,0,1)</f>
        <v>Cordi Switsur</v>
      </c>
      <c r="G121" s="2" t="str">
        <f>IF((_xlfn.XLOOKUP(C121,customers!$A$2:$A$1001,customers!$C$2:$C$1001,,,)=0),"",(_xlfn.XLOOKUP(C121,customers!$A$2:$A$1001,customers!$C$2:$C$1001,,0,)))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1"/>
        <v>4.125</v>
      </c>
      <c r="N121" t="str" cm="1">
        <f t="array" ref="N121">_xlfn.IFS(I121="rob","Robusta",I121="exc","Excesla",I121="ara","Arabica",I121="lib","Liberica")</f>
        <v>Excesla</v>
      </c>
      <c r="O121" t="str" cm="1">
        <f t="array" ref="O121">_xlfn.IFS(J121="m","Medium",J121="l","Light",J121="d","Dark")</f>
        <v>Medium</v>
      </c>
      <c r="P121" t="str">
        <f>_xlfn.XLOOKUP(orders[[#This Row],[Customer ID]],customers!$A$2:$A$1001,customers!$I$2:$I$1001,,0)</f>
        <v>No</v>
      </c>
    </row>
    <row r="122" spans="1:16" x14ac:dyDescent="0.3">
      <c r="A122" s="2" t="s">
        <v>1158</v>
      </c>
      <c r="B122" s="6">
        <v>44471</v>
      </c>
      <c r="C122" s="2" t="s">
        <v>1159</v>
      </c>
      <c r="D122" t="s">
        <v>6167</v>
      </c>
      <c r="E122" s="2">
        <v>1</v>
      </c>
      <c r="F122" s="2" t="str">
        <f>_xlfn.XLOOKUP(C122,customers!$A$1:$A$1001,customers!$B$1:$B$1001,,0,1)</f>
        <v>Cordi Switsur</v>
      </c>
      <c r="G122" s="2" t="str">
        <f>IF((_xlfn.XLOOKUP(C122,customers!$A$2:$A$1001,customers!$C$2:$C$1001,,,)=0),"",(_xlfn.XLOOKUP(C122,customers!$A$2:$A$1001,customers!$C$2:$C$1001,,0,)))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1"/>
        <v>3.8849999999999998</v>
      </c>
      <c r="N122" t="str" cm="1">
        <f t="array" ref="N122">_xlfn.IFS(I122="rob","Robusta",I122="exc","Excesla",I122="ara","Arabica",I122="lib","Liberica")</f>
        <v>Arabica</v>
      </c>
      <c r="O122" t="str" cm="1">
        <f t="array" ref="O122">_xlfn.IFS(J122="m","Medium",J122="l","Light",J122="d","Dark")</f>
        <v>Light</v>
      </c>
      <c r="P122" t="str">
        <f>_xlfn.XLOOKUP(orders[[#This Row],[Customer ID]],customers!$A$2:$A$1001,customers!$I$2:$I$1001,,0)</f>
        <v>No</v>
      </c>
    </row>
    <row r="123" spans="1:16" x14ac:dyDescent="0.3">
      <c r="A123" s="2" t="s">
        <v>1158</v>
      </c>
      <c r="B123" s="6">
        <v>44471</v>
      </c>
      <c r="C123" s="2" t="s">
        <v>1159</v>
      </c>
      <c r="D123" t="s">
        <v>6141</v>
      </c>
      <c r="E123" s="2">
        <v>5</v>
      </c>
      <c r="F123" s="2" t="str">
        <f>_xlfn.XLOOKUP(C123,customers!$A$1:$A$1001,customers!$B$1:$B$1001,,0,1)</f>
        <v>Cordi Switsur</v>
      </c>
      <c r="G123" s="2" t="str">
        <f>IF((_xlfn.XLOOKUP(C123,customers!$A$2:$A$1001,customers!$C$2:$C$1001,,,)=0),"",(_xlfn.XLOOKUP(C123,customers!$A$2:$A$1001,customers!$C$2:$C$1001,,0,)))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1"/>
        <v>68.75</v>
      </c>
      <c r="N123" t="str" cm="1">
        <f t="array" ref="N123">_xlfn.IFS(I123="rob","Robusta",I123="exc","Excesla",I123="ara","Arabica",I123="lib","Liberica")</f>
        <v>Excesla</v>
      </c>
      <c r="O123" t="str" cm="1">
        <f t="array" ref="O123">_xlfn.IFS(J123="m","Medium",J123="l","Light",J123="d","Dark")</f>
        <v>Medium</v>
      </c>
      <c r="P123" t="str">
        <f>_xlfn.XLOOKUP(orders[[#This Row],[Customer ID]],customers!$A$2:$A$1001,customers!$I$2:$I$1001,,0)</f>
        <v>No</v>
      </c>
    </row>
    <row r="124" spans="1:16" x14ac:dyDescent="0.3">
      <c r="A124" s="2" t="s">
        <v>1174</v>
      </c>
      <c r="B124" s="6">
        <v>44268</v>
      </c>
      <c r="C124" s="2" t="s">
        <v>1175</v>
      </c>
      <c r="D124" t="s">
        <v>6158</v>
      </c>
      <c r="E124" s="2">
        <v>4</v>
      </c>
      <c r="F124" s="2" t="str">
        <f>_xlfn.XLOOKUP(C124,customers!$A$1:$A$1001,customers!$B$1:$B$1001,,0,1)</f>
        <v>Mahala Ludwell</v>
      </c>
      <c r="G124" s="2" t="str">
        <f>IF((_xlfn.XLOOKUP(C124,customers!$A$2:$A$1001,customers!$C$2:$C$1001,,,)=0),"",(_xlfn.XLOOKUP(C124,customers!$A$2:$A$1001,customers!$C$2:$C$1001,,0,)))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1"/>
        <v>23.88</v>
      </c>
      <c r="N124" t="str" cm="1">
        <f t="array" ref="N124">_xlfn.IFS(I124="rob","Robusta",I124="exc","Excesla",I124="ara","Arabica",I124="lib","Liberica")</f>
        <v>Arabica</v>
      </c>
      <c r="O124" t="str" cm="1">
        <f t="array" ref="O124">_xlfn.IFS(J124="m","Medium",J124="l","Light",J124="d","Dark")</f>
        <v>Dark</v>
      </c>
      <c r="P124" t="str">
        <f>_xlfn.XLOOKUP(orders[[#This Row],[Customer ID]],customers!$A$2:$A$1001,customers!$I$2:$I$1001,,0)</f>
        <v>Yes</v>
      </c>
    </row>
    <row r="125" spans="1:16" x14ac:dyDescent="0.3">
      <c r="A125" s="2" t="s">
        <v>1180</v>
      </c>
      <c r="B125" s="6">
        <v>44724</v>
      </c>
      <c r="C125" s="2" t="s">
        <v>1181</v>
      </c>
      <c r="D125" t="s">
        <v>6164</v>
      </c>
      <c r="E125" s="2">
        <v>4</v>
      </c>
      <c r="F125" s="2" t="str">
        <f>_xlfn.XLOOKUP(C125,customers!$A$1:$A$1001,customers!$B$1:$B$1001,,0,1)</f>
        <v>Doll Beauchamp</v>
      </c>
      <c r="G125" s="2" t="str">
        <f>IF((_xlfn.XLOOKUP(C125,customers!$A$2:$A$1001,customers!$C$2:$C$1001,,,)=0),"",(_xlfn.XLOOKUP(C125,customers!$A$2:$A$1001,customers!$C$2:$C$1001,,0,)))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1"/>
        <v>145.82</v>
      </c>
      <c r="N125" t="str" cm="1">
        <f t="array" ref="N125">_xlfn.IFS(I125="rob","Robusta",I125="exc","Excesla",I125="ara","Arabica",I125="lib","Liberica")</f>
        <v>Liberica</v>
      </c>
      <c r="O125" t="str" cm="1">
        <f t="array" ref="O125">_xlfn.IFS(J125="m","Medium",J125="l","Light",J125="d","Dark")</f>
        <v>Light</v>
      </c>
      <c r="P125" t="str">
        <f>_xlfn.XLOOKUP(orders[[#This Row],[Customer ID]],customers!$A$2:$A$1001,customers!$I$2:$I$1001,,0)</f>
        <v>No</v>
      </c>
    </row>
    <row r="126" spans="1:16" x14ac:dyDescent="0.3">
      <c r="A126" s="2" t="s">
        <v>1186</v>
      </c>
      <c r="B126" s="6">
        <v>43582</v>
      </c>
      <c r="C126" s="2" t="s">
        <v>1187</v>
      </c>
      <c r="D126" t="s">
        <v>6159</v>
      </c>
      <c r="E126" s="2">
        <v>5</v>
      </c>
      <c r="F126" s="2" t="str">
        <f>_xlfn.XLOOKUP(C126,customers!$A$1:$A$1001,customers!$B$1:$B$1001,,0,1)</f>
        <v>Stanford Rodliff</v>
      </c>
      <c r="G126" s="2" t="str">
        <f>IF((_xlfn.XLOOKUP(C126,customers!$A$2:$A$1001,customers!$C$2:$C$1001,,,)=0),"",(_xlfn.XLOOKUP(C126,customers!$A$2:$A$1001,customers!$C$2:$C$1001,,0,)))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1"/>
        <v>21.825000000000003</v>
      </c>
      <c r="N126" t="str" cm="1">
        <f t="array" ref="N126">_xlfn.IFS(I126="rob","Robusta",I126="exc","Excesla",I126="ara","Arabica",I126="lib","Liberica")</f>
        <v>Liberica</v>
      </c>
      <c r="O126" t="str" cm="1">
        <f t="array" ref="O126">_xlfn.IFS(J126="m","Medium",J126="l","Light",J126="d","Dark")</f>
        <v>Medium</v>
      </c>
      <c r="P126" t="str">
        <f>_xlfn.XLOOKUP(orders[[#This Row],[Customer ID]],customers!$A$2:$A$1001,customers!$I$2:$I$1001,,0)</f>
        <v>Yes</v>
      </c>
    </row>
    <row r="127" spans="1:16" x14ac:dyDescent="0.3">
      <c r="A127" s="2" t="s">
        <v>1192</v>
      </c>
      <c r="B127" s="6">
        <v>43608</v>
      </c>
      <c r="C127" s="2" t="s">
        <v>1193</v>
      </c>
      <c r="D127" t="s">
        <v>6160</v>
      </c>
      <c r="E127" s="2">
        <v>3</v>
      </c>
      <c r="F127" s="2" t="str">
        <f>_xlfn.XLOOKUP(C127,customers!$A$1:$A$1001,customers!$B$1:$B$1001,,0,1)</f>
        <v>Stevana Woodham</v>
      </c>
      <c r="G127" s="2" t="str">
        <f>IF((_xlfn.XLOOKUP(C127,customers!$A$2:$A$1001,customers!$C$2:$C$1001,,,)=0),"",(_xlfn.XLOOKUP(C127,customers!$A$2:$A$1001,customers!$C$2:$C$1001,,0,)))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1"/>
        <v>26.19</v>
      </c>
      <c r="N127" t="str" cm="1">
        <f t="array" ref="N127">_xlfn.IFS(I127="rob","Robusta",I127="exc","Excesla",I127="ara","Arabica",I127="lib","Liberica")</f>
        <v>Liberica</v>
      </c>
      <c r="O127" t="str" cm="1">
        <f t="array" ref="O127">_xlfn.IFS(J127="m","Medium",J127="l","Light",J127="d","Dark")</f>
        <v>Medium</v>
      </c>
      <c r="P127" t="str">
        <f>_xlfn.XLOOKUP(orders[[#This Row],[Customer ID]],customers!$A$2:$A$1001,customers!$I$2:$I$1001,,0)</f>
        <v>Yes</v>
      </c>
    </row>
    <row r="128" spans="1:16" x14ac:dyDescent="0.3">
      <c r="A128" s="2" t="s">
        <v>1198</v>
      </c>
      <c r="B128" s="6">
        <v>44026</v>
      </c>
      <c r="C128" s="2" t="s">
        <v>1199</v>
      </c>
      <c r="D128" t="s">
        <v>6155</v>
      </c>
      <c r="E128" s="2">
        <v>1</v>
      </c>
      <c r="F128" s="2" t="str">
        <f>_xlfn.XLOOKUP(C128,customers!$A$1:$A$1001,customers!$B$1:$B$1001,,0,1)</f>
        <v>Hewet Synnot</v>
      </c>
      <c r="G128" s="2" t="str">
        <f>IF((_xlfn.XLOOKUP(C128,customers!$A$2:$A$1001,customers!$C$2:$C$1001,,,)=0),"",(_xlfn.XLOOKUP(C128,customers!$A$2:$A$1001,customers!$C$2:$C$1001,,0,)))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1"/>
        <v>11.25</v>
      </c>
      <c r="N128" t="str" cm="1">
        <f t="array" ref="N128">_xlfn.IFS(I128="rob","Robusta",I128="exc","Excesla",I128="ara","Arabica",I128="lib","Liberica")</f>
        <v>Arabica</v>
      </c>
      <c r="O128" t="str" cm="1">
        <f t="array" ref="O128">_xlfn.IFS(J128="m","Medium",J128="l","Light",J128="d","Dark")</f>
        <v>Medium</v>
      </c>
      <c r="P128" t="str">
        <f>_xlfn.XLOOKUP(orders[[#This Row],[Customer ID]],customers!$A$2:$A$1001,customers!$I$2:$I$1001,,0)</f>
        <v>No</v>
      </c>
    </row>
    <row r="129" spans="1:16" x14ac:dyDescent="0.3">
      <c r="A129" s="2" t="s">
        <v>1204</v>
      </c>
      <c r="B129" s="6">
        <v>44510</v>
      </c>
      <c r="C129" s="2" t="s">
        <v>1205</v>
      </c>
      <c r="D129" t="s">
        <v>6143</v>
      </c>
      <c r="E129" s="2">
        <v>6</v>
      </c>
      <c r="F129" s="2" t="str">
        <f>_xlfn.XLOOKUP(C129,customers!$A$1:$A$1001,customers!$B$1:$B$1001,,0,1)</f>
        <v>Raleigh Lepere</v>
      </c>
      <c r="G129" s="2" t="str">
        <f>IF((_xlfn.XLOOKUP(C129,customers!$A$2:$A$1001,customers!$C$2:$C$1001,,,)=0),"",(_xlfn.XLOOKUP(C129,customers!$A$2:$A$1001,customers!$C$2:$C$1001,,0,)))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1"/>
        <v>77.699999999999989</v>
      </c>
      <c r="N129" t="str" cm="1">
        <f t="array" ref="N129">_xlfn.IFS(I129="rob","Robusta",I129="exc","Excesla",I129="ara","Arabica",I129="lib","Liberica")</f>
        <v>Liberica</v>
      </c>
      <c r="O129" t="str" cm="1">
        <f t="array" ref="O129">_xlfn.IFS(J129="m","Medium",J129="l","Light",J129="d","Dark")</f>
        <v>Dark</v>
      </c>
      <c r="P129" t="str">
        <f>_xlfn.XLOOKUP(orders[[#This Row],[Customer ID]],customers!$A$2:$A$1001,customers!$I$2:$I$1001,,0)</f>
        <v>No</v>
      </c>
    </row>
    <row r="130" spans="1:16" x14ac:dyDescent="0.3">
      <c r="A130" s="2" t="s">
        <v>1210</v>
      </c>
      <c r="B130" s="6">
        <v>44439</v>
      </c>
      <c r="C130" s="2" t="s">
        <v>1211</v>
      </c>
      <c r="D130" t="s">
        <v>6157</v>
      </c>
      <c r="E130" s="2">
        <v>1</v>
      </c>
      <c r="F130" s="2" t="str">
        <f>_xlfn.XLOOKUP(C130,customers!$A$1:$A$1001,customers!$B$1:$B$1001,,0,1)</f>
        <v>Timofei Woofinden</v>
      </c>
      <c r="G130" s="2" t="str">
        <f>IF((_xlfn.XLOOKUP(C130,customers!$A$2:$A$1001,customers!$C$2:$C$1001,,,)=0),"",(_xlfn.XLOOKUP(C130,customers!$A$2:$A$1001,customers!$C$2:$C$1001,,0,)))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1"/>
        <v>6.75</v>
      </c>
      <c r="N130" t="str" cm="1">
        <f t="array" ref="N130">_xlfn.IFS(I130="rob","Robusta",I130="exc","Excesla",I130="ara","Arabica",I130="lib","Liberica")</f>
        <v>Arabica</v>
      </c>
      <c r="O130" t="str" cm="1">
        <f t="array" ref="O130">_xlfn.IFS(J130="m","Medium",J130="l","Light",J130="d","Dark")</f>
        <v>Medium</v>
      </c>
      <c r="P130" t="str">
        <f>_xlfn.XLOOKUP(orders[[#This Row],[Customer ID]],customers!$A$2:$A$1001,customers!$I$2:$I$1001,,0)</f>
        <v>No</v>
      </c>
    </row>
    <row r="131" spans="1:16" x14ac:dyDescent="0.3">
      <c r="A131" s="2" t="s">
        <v>1216</v>
      </c>
      <c r="B131" s="6">
        <v>43652</v>
      </c>
      <c r="C131" s="2" t="s">
        <v>1217</v>
      </c>
      <c r="D131" t="s">
        <v>6183</v>
      </c>
      <c r="E131" s="2">
        <v>1</v>
      </c>
      <c r="F131" s="2" t="str">
        <f>_xlfn.XLOOKUP(C131,customers!$A$1:$A$1001,customers!$B$1:$B$1001,,0,1)</f>
        <v>Evelina Dacca</v>
      </c>
      <c r="G131" s="2" t="str">
        <f>IF((_xlfn.XLOOKUP(C131,customers!$A$2:$A$1001,customers!$C$2:$C$1001,,,)=0),"",(_xlfn.XLOOKUP(C131,customers!$A$2:$A$1001,customers!$C$2:$C$1001,,0,)))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2">L131*E131</f>
        <v>12.15</v>
      </c>
      <c r="N131" t="str" cm="1">
        <f t="array" ref="N131">_xlfn.IFS(I131="rob","Robusta",I131="exc","Excesla",I131="ara","Arabica",I131="lib","Liberica")</f>
        <v>Excesla</v>
      </c>
      <c r="O131" t="str" cm="1">
        <f t="array" ref="O131">_xlfn.IFS(J131="m","Medium",J131="l","Light",J131="d","Dark")</f>
        <v>Dark</v>
      </c>
      <c r="P131" t="str">
        <f>_xlfn.XLOOKUP(orders[[#This Row],[Customer ID]],customers!$A$2:$A$1001,customers!$I$2:$I$1001,,0)</f>
        <v>Yes</v>
      </c>
    </row>
    <row r="132" spans="1:16" x14ac:dyDescent="0.3">
      <c r="A132" s="2" t="s">
        <v>1222</v>
      </c>
      <c r="B132" s="6">
        <v>44624</v>
      </c>
      <c r="C132" s="2" t="s">
        <v>1223</v>
      </c>
      <c r="D132" t="s">
        <v>6182</v>
      </c>
      <c r="E132" s="2">
        <v>5</v>
      </c>
      <c r="F132" s="2" t="str">
        <f>_xlfn.XLOOKUP(C132,customers!$A$1:$A$1001,customers!$B$1:$B$1001,,0,1)</f>
        <v>Bidget Tremellier</v>
      </c>
      <c r="G132" s="2" t="str">
        <f>IF((_xlfn.XLOOKUP(C132,customers!$A$2:$A$1001,customers!$C$2:$C$1001,,,)=0),"",(_xlfn.XLOOKUP(C132,customers!$A$2:$A$1001,customers!$C$2:$C$1001,,0,)))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2"/>
        <v>148.92499999999998</v>
      </c>
      <c r="N132" t="str" cm="1">
        <f t="array" ref="N132">_xlfn.IFS(I132="rob","Robusta",I132="exc","Excesla",I132="ara","Arabica",I132="lib","Liberica")</f>
        <v>Arabica</v>
      </c>
      <c r="O132" t="str" cm="1">
        <f t="array" ref="O132">_xlfn.IFS(J132="m","Medium",J132="l","Light",J132="d","Dark")</f>
        <v>Light</v>
      </c>
      <c r="P132" t="str">
        <f>_xlfn.XLOOKUP(orders[[#This Row],[Customer ID]],customers!$A$2:$A$1001,customers!$I$2:$I$1001,,0)</f>
        <v>Yes</v>
      </c>
    </row>
    <row r="133" spans="1:16" x14ac:dyDescent="0.3">
      <c r="A133" s="2" t="s">
        <v>1227</v>
      </c>
      <c r="B133" s="6">
        <v>44196</v>
      </c>
      <c r="C133" s="2" t="s">
        <v>1228</v>
      </c>
      <c r="D133" t="s">
        <v>6144</v>
      </c>
      <c r="E133" s="2">
        <v>2</v>
      </c>
      <c r="F133" s="2" t="str">
        <f>_xlfn.XLOOKUP(C133,customers!$A$1:$A$1001,customers!$B$1:$B$1001,,0,1)</f>
        <v>Bobinette Hindsberg</v>
      </c>
      <c r="G133" s="2" t="str">
        <f>IF((_xlfn.XLOOKUP(C133,customers!$A$2:$A$1001,customers!$C$2:$C$1001,,,)=0),"",(_xlfn.XLOOKUP(C133,customers!$A$2:$A$1001,customers!$C$2:$C$1001,,0,)))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2"/>
        <v>14.58</v>
      </c>
      <c r="N133" t="str" cm="1">
        <f t="array" ref="N133">_xlfn.IFS(I133="rob","Robusta",I133="exc","Excesla",I133="ara","Arabica",I133="lib","Liberica")</f>
        <v>Excesla</v>
      </c>
      <c r="O133" t="str" cm="1">
        <f t="array" ref="O133">_xlfn.IFS(J133="m","Medium",J133="l","Light",J133="d","Dark")</f>
        <v>Dark</v>
      </c>
      <c r="P133" t="str">
        <f>_xlfn.XLOOKUP(orders[[#This Row],[Customer ID]],customers!$A$2:$A$1001,customers!$I$2:$I$1001,,0)</f>
        <v>Yes</v>
      </c>
    </row>
    <row r="134" spans="1:16" x14ac:dyDescent="0.3">
      <c r="A134" s="2" t="s">
        <v>1233</v>
      </c>
      <c r="B134" s="6">
        <v>44043</v>
      </c>
      <c r="C134" s="2" t="s">
        <v>1234</v>
      </c>
      <c r="D134" t="s">
        <v>6182</v>
      </c>
      <c r="E134" s="2">
        <v>5</v>
      </c>
      <c r="F134" s="2" t="str">
        <f>_xlfn.XLOOKUP(C134,customers!$A$1:$A$1001,customers!$B$1:$B$1001,,0,1)</f>
        <v>Osbert Robins</v>
      </c>
      <c r="G134" s="2" t="str">
        <f>IF((_xlfn.XLOOKUP(C134,customers!$A$2:$A$1001,customers!$C$2:$C$1001,,,)=0),"",(_xlfn.XLOOKUP(C134,customers!$A$2:$A$1001,customers!$C$2:$C$1001,,0,)))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2"/>
        <v>148.92499999999998</v>
      </c>
      <c r="N134" t="str" cm="1">
        <f t="array" ref="N134">_xlfn.IFS(I134="rob","Robusta",I134="exc","Excesla",I134="ara","Arabica",I134="lib","Liberica")</f>
        <v>Arabica</v>
      </c>
      <c r="O134" t="str" cm="1">
        <f t="array" ref="O134">_xlfn.IFS(J134="m","Medium",J134="l","Light",J134="d","Dark")</f>
        <v>Light</v>
      </c>
      <c r="P134" t="str">
        <f>_xlfn.XLOOKUP(orders[[#This Row],[Customer ID]],customers!$A$2:$A$1001,customers!$I$2:$I$1001,,0)</f>
        <v>Yes</v>
      </c>
    </row>
    <row r="135" spans="1:16" x14ac:dyDescent="0.3">
      <c r="A135" s="2" t="s">
        <v>1239</v>
      </c>
      <c r="B135" s="6">
        <v>44340</v>
      </c>
      <c r="C135" s="2" t="s">
        <v>1240</v>
      </c>
      <c r="D135" t="s">
        <v>6143</v>
      </c>
      <c r="E135" s="2">
        <v>1</v>
      </c>
      <c r="F135" s="2" t="str">
        <f>_xlfn.XLOOKUP(C135,customers!$A$1:$A$1001,customers!$B$1:$B$1001,,0,1)</f>
        <v>Othello Syseland</v>
      </c>
      <c r="G135" s="2" t="str">
        <f>IF((_xlfn.XLOOKUP(C135,customers!$A$2:$A$1001,customers!$C$2:$C$1001,,,)=0),"",(_xlfn.XLOOKUP(C135,customers!$A$2:$A$1001,customers!$C$2:$C$1001,,0,)))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2"/>
        <v>12.95</v>
      </c>
      <c r="N135" t="str" cm="1">
        <f t="array" ref="N135">_xlfn.IFS(I135="rob","Robusta",I135="exc","Excesla",I135="ara","Arabica",I135="lib","Liberica")</f>
        <v>Liberica</v>
      </c>
      <c r="O135" t="str" cm="1">
        <f t="array" ref="O135">_xlfn.IFS(J135="m","Medium",J135="l","Light",J135="d","Dark")</f>
        <v>Dark</v>
      </c>
      <c r="P135" t="str">
        <f>_xlfn.XLOOKUP(orders[[#This Row],[Customer ID]],customers!$A$2:$A$1001,customers!$I$2:$I$1001,,0)</f>
        <v>No</v>
      </c>
    </row>
    <row r="136" spans="1:16" x14ac:dyDescent="0.3">
      <c r="A136" s="2" t="s">
        <v>1245</v>
      </c>
      <c r="B136" s="6">
        <v>44758</v>
      </c>
      <c r="C136" s="2" t="s">
        <v>1246</v>
      </c>
      <c r="D136" t="s">
        <v>6166</v>
      </c>
      <c r="E136" s="2">
        <v>3</v>
      </c>
      <c r="F136" s="2" t="str">
        <f>_xlfn.XLOOKUP(C136,customers!$A$1:$A$1001,customers!$B$1:$B$1001,,0,1)</f>
        <v>Ewell Hanby</v>
      </c>
      <c r="G136" s="2" t="str">
        <f>IF((_xlfn.XLOOKUP(C136,customers!$A$2:$A$1001,customers!$C$2:$C$1001,,,)=0),"",(_xlfn.XLOOKUP(C136,customers!$A$2:$A$1001,customers!$C$2:$C$1001,,0,)))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2"/>
        <v>94.874999999999986</v>
      </c>
      <c r="N136" t="str" cm="1">
        <f t="array" ref="N136">_xlfn.IFS(I136="rob","Robusta",I136="exc","Excesla",I136="ara","Arabica",I136="lib","Liberica")</f>
        <v>Excesla</v>
      </c>
      <c r="O136" t="str" cm="1">
        <f t="array" ref="O136">_xlfn.IFS(J136="m","Medium",J136="l","Light",J136="d","Dark")</f>
        <v>Medium</v>
      </c>
      <c r="P136" t="str">
        <f>_xlfn.XLOOKUP(orders[[#This Row],[Customer ID]],customers!$A$2:$A$1001,customers!$I$2:$I$1001,,0)</f>
        <v>Yes</v>
      </c>
    </row>
    <row r="137" spans="1:16" x14ac:dyDescent="0.3">
      <c r="A137" s="2" t="s">
        <v>1249</v>
      </c>
      <c r="B137" s="6">
        <v>44232</v>
      </c>
      <c r="C137" s="2" t="s">
        <v>976</v>
      </c>
      <c r="D137" t="s">
        <v>6180</v>
      </c>
      <c r="E137" s="2">
        <v>5</v>
      </c>
      <c r="F137" s="2" t="str">
        <f>_xlfn.XLOOKUP(C137,customers!$A$1:$A$1001,customers!$B$1:$B$1001,,0,1)</f>
        <v>Blancha McAmish</v>
      </c>
      <c r="G137" s="2" t="str">
        <f>IF((_xlfn.XLOOKUP(C137,customers!$A$2:$A$1001,customers!$C$2:$C$1001,,,)=0),"",(_xlfn.XLOOKUP(C137,customers!$A$2:$A$1001,customers!$C$2:$C$1001,,0,)))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2"/>
        <v>38.849999999999994</v>
      </c>
      <c r="N137" t="str" cm="1">
        <f t="array" ref="N137">_xlfn.IFS(I137="rob","Robusta",I137="exc","Excesla",I137="ara","Arabica",I137="lib","Liberica")</f>
        <v>Arabica</v>
      </c>
      <c r="O137" t="str" cm="1">
        <f t="array" ref="O137">_xlfn.IFS(J137="m","Medium",J137="l","Light",J137="d","Dark")</f>
        <v>Light</v>
      </c>
      <c r="P137" t="str">
        <f>_xlfn.XLOOKUP(orders[[#This Row],[Customer ID]],customers!$A$2:$A$1001,customers!$I$2:$I$1001,,0)</f>
        <v>Yes</v>
      </c>
    </row>
    <row r="138" spans="1:16" x14ac:dyDescent="0.3">
      <c r="A138" s="2" t="s">
        <v>1255</v>
      </c>
      <c r="B138" s="6">
        <v>44406</v>
      </c>
      <c r="C138" s="2" t="s">
        <v>1256</v>
      </c>
      <c r="D138" t="s">
        <v>6154</v>
      </c>
      <c r="E138" s="2">
        <v>4</v>
      </c>
      <c r="F138" s="2" t="str">
        <f>_xlfn.XLOOKUP(C138,customers!$A$1:$A$1001,customers!$B$1:$B$1001,,0,1)</f>
        <v>Lowell Keenleyside</v>
      </c>
      <c r="G138" s="2" t="str">
        <f>IF((_xlfn.XLOOKUP(C138,customers!$A$2:$A$1001,customers!$C$2:$C$1001,,,)=0),"",(_xlfn.XLOOKUP(C138,customers!$A$2:$A$1001,customers!$C$2:$C$1001,,0,)))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2"/>
        <v>11.94</v>
      </c>
      <c r="N138" t="str" cm="1">
        <f t="array" ref="N138">_xlfn.IFS(I138="rob","Robusta",I138="exc","Excesla",I138="ara","Arabica",I138="lib","Liberica")</f>
        <v>Arabica</v>
      </c>
      <c r="O138" t="str" cm="1">
        <f t="array" ref="O138">_xlfn.IFS(J138="m","Medium",J138="l","Light",J138="d","Dark")</f>
        <v>Dark</v>
      </c>
      <c r="P138" t="str">
        <f>_xlfn.XLOOKUP(orders[[#This Row],[Customer ID]],customers!$A$2:$A$1001,customers!$I$2:$I$1001,,0)</f>
        <v>No</v>
      </c>
    </row>
    <row r="139" spans="1:16" x14ac:dyDescent="0.3">
      <c r="A139" s="2" t="s">
        <v>1261</v>
      </c>
      <c r="B139" s="6">
        <v>44637</v>
      </c>
      <c r="C139" s="2" t="s">
        <v>1262</v>
      </c>
      <c r="D139" t="s">
        <v>6148</v>
      </c>
      <c r="E139" s="2">
        <v>3</v>
      </c>
      <c r="F139" s="2" t="str">
        <f>_xlfn.XLOOKUP(C139,customers!$A$1:$A$1001,customers!$B$1:$B$1001,,0,1)</f>
        <v>Elonore Joliffe</v>
      </c>
      <c r="G139" s="2" t="str">
        <f>IF((_xlfn.XLOOKUP(C139,customers!$A$2:$A$1001,customers!$C$2:$C$1001,,,)=0),"",(_xlfn.XLOOKUP(C139,customers!$A$2:$A$1001,customers!$C$2:$C$1001,,0,)))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2"/>
        <v>102.46499999999997</v>
      </c>
      <c r="N139" t="str" cm="1">
        <f t="array" ref="N139">_xlfn.IFS(I139="rob","Robusta",I139="exc","Excesla",I139="ara","Arabica",I139="lib","Liberica")</f>
        <v>Excesla</v>
      </c>
      <c r="O139" t="str" cm="1">
        <f t="array" ref="O139">_xlfn.IFS(J139="m","Medium",J139="l","Light",J139="d","Dark")</f>
        <v>Light</v>
      </c>
      <c r="P139" t="str">
        <f>_xlfn.XLOOKUP(orders[[#This Row],[Customer ID]],customers!$A$2:$A$1001,customers!$I$2:$I$1001,,0)</f>
        <v>No</v>
      </c>
    </row>
    <row r="140" spans="1:16" x14ac:dyDescent="0.3">
      <c r="A140" s="2" t="s">
        <v>1266</v>
      </c>
      <c r="B140" s="6">
        <v>44238</v>
      </c>
      <c r="C140" s="2" t="s">
        <v>1267</v>
      </c>
      <c r="D140" t="s">
        <v>6183</v>
      </c>
      <c r="E140" s="2">
        <v>4</v>
      </c>
      <c r="F140" s="2" t="str">
        <f>_xlfn.XLOOKUP(C140,customers!$A$1:$A$1001,customers!$B$1:$B$1001,,0,1)</f>
        <v>Abraham Coleman</v>
      </c>
      <c r="G140" s="2" t="str">
        <f>IF((_xlfn.XLOOKUP(C140,customers!$A$2:$A$1001,customers!$C$2:$C$1001,,,)=0),"",(_xlfn.XLOOKUP(C140,customers!$A$2:$A$1001,customers!$C$2:$C$1001,,0,)))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2"/>
        <v>48.6</v>
      </c>
      <c r="N140" t="str" cm="1">
        <f t="array" ref="N140">_xlfn.IFS(I140="rob","Robusta",I140="exc","Excesla",I140="ara","Arabica",I140="lib","Liberica")</f>
        <v>Excesla</v>
      </c>
      <c r="O140" t="str" cm="1">
        <f t="array" ref="O140">_xlfn.IFS(J140="m","Medium",J140="l","Light",J140="d","Dark")</f>
        <v>Dark</v>
      </c>
      <c r="P140" t="str">
        <f>_xlfn.XLOOKUP(orders[[#This Row],[Customer ID]],customers!$A$2:$A$1001,customers!$I$2:$I$1001,,0)</f>
        <v>No</v>
      </c>
    </row>
    <row r="141" spans="1:16" x14ac:dyDescent="0.3">
      <c r="A141" s="2" t="s">
        <v>1271</v>
      </c>
      <c r="B141" s="6">
        <v>43509</v>
      </c>
      <c r="C141" s="2" t="s">
        <v>1272</v>
      </c>
      <c r="D141" t="s">
        <v>6143</v>
      </c>
      <c r="E141" s="2">
        <v>6</v>
      </c>
      <c r="F141" s="2" t="str">
        <f>_xlfn.XLOOKUP(C141,customers!$A$1:$A$1001,customers!$B$1:$B$1001,,0,1)</f>
        <v>Rivy Farington</v>
      </c>
      <c r="G141" s="2" t="str">
        <f>IF((_xlfn.XLOOKUP(C141,customers!$A$2:$A$1001,customers!$C$2:$C$1001,,,)=0),"",(_xlfn.XLOOKUP(C141,customers!$A$2:$A$1001,customers!$C$2:$C$1001,,0,)))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2"/>
        <v>77.699999999999989</v>
      </c>
      <c r="N141" t="str" cm="1">
        <f t="array" ref="N141">_xlfn.IFS(I141="rob","Robusta",I141="exc","Excesla",I141="ara","Arabica",I141="lib","Liberica")</f>
        <v>Liberica</v>
      </c>
      <c r="O141" t="str" cm="1">
        <f t="array" ref="O141">_xlfn.IFS(J141="m","Medium",J141="l","Light",J141="d","Dark")</f>
        <v>Dark</v>
      </c>
      <c r="P141" t="str">
        <f>_xlfn.XLOOKUP(orders[[#This Row],[Customer ID]],customers!$A$2:$A$1001,customers!$I$2:$I$1001,,0)</f>
        <v>Yes</v>
      </c>
    </row>
    <row r="142" spans="1:16" x14ac:dyDescent="0.3">
      <c r="A142" s="2" t="s">
        <v>1276</v>
      </c>
      <c r="B142" s="6">
        <v>44694</v>
      </c>
      <c r="C142" s="2" t="s">
        <v>1277</v>
      </c>
      <c r="D142" t="s">
        <v>6165</v>
      </c>
      <c r="E142" s="2">
        <v>1</v>
      </c>
      <c r="F142" s="2" t="str">
        <f>_xlfn.XLOOKUP(C142,customers!$A$1:$A$1001,customers!$B$1:$B$1001,,0,1)</f>
        <v>Vallie Kundt</v>
      </c>
      <c r="G142" s="2" t="str">
        <f>IF((_xlfn.XLOOKUP(C142,customers!$A$2:$A$1001,customers!$C$2:$C$1001,,,)=0),"",(_xlfn.XLOOKUP(C142,customers!$A$2:$A$1001,customers!$C$2:$C$1001,,0,)))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2"/>
        <v>29.784999999999997</v>
      </c>
      <c r="N142" t="str" cm="1">
        <f t="array" ref="N142">_xlfn.IFS(I142="rob","Robusta",I142="exc","Excesla",I142="ara","Arabica",I142="lib","Liberica")</f>
        <v>Liberica</v>
      </c>
      <c r="O142" t="str" cm="1">
        <f t="array" ref="O142">_xlfn.IFS(J142="m","Medium",J142="l","Light",J142="d","Dark")</f>
        <v>Dark</v>
      </c>
      <c r="P142" t="str">
        <f>_xlfn.XLOOKUP(orders[[#This Row],[Customer ID]],customers!$A$2:$A$1001,customers!$I$2:$I$1001,,0)</f>
        <v>Yes</v>
      </c>
    </row>
    <row r="143" spans="1:16" x14ac:dyDescent="0.3">
      <c r="A143" s="2" t="s">
        <v>1283</v>
      </c>
      <c r="B143" s="6">
        <v>43970</v>
      </c>
      <c r="C143" s="2" t="s">
        <v>1284</v>
      </c>
      <c r="D143" t="s">
        <v>6167</v>
      </c>
      <c r="E143" s="2">
        <v>4</v>
      </c>
      <c r="F143" s="2" t="str">
        <f>_xlfn.XLOOKUP(C143,customers!$A$1:$A$1001,customers!$B$1:$B$1001,,0,1)</f>
        <v>Boyd Bett</v>
      </c>
      <c r="G143" s="2" t="str">
        <f>IF((_xlfn.XLOOKUP(C143,customers!$A$2:$A$1001,customers!$C$2:$C$1001,,,)=0),"",(_xlfn.XLOOKUP(C143,customers!$A$2:$A$1001,customers!$C$2:$C$1001,,0,)))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2"/>
        <v>15.54</v>
      </c>
      <c r="N143" t="str" cm="1">
        <f t="array" ref="N143">_xlfn.IFS(I143="rob","Robusta",I143="exc","Excesla",I143="ara","Arabica",I143="lib","Liberica")</f>
        <v>Arabica</v>
      </c>
      <c r="O143" t="str" cm="1">
        <f t="array" ref="O143">_xlfn.IFS(J143="m","Medium",J143="l","Light",J143="d","Dark")</f>
        <v>Light</v>
      </c>
      <c r="P143" t="str">
        <f>_xlfn.XLOOKUP(orders[[#This Row],[Customer ID]],customers!$A$2:$A$1001,customers!$I$2:$I$1001,,0)</f>
        <v>Yes</v>
      </c>
    </row>
    <row r="144" spans="1:16" x14ac:dyDescent="0.3">
      <c r="A144" s="2" t="s">
        <v>1289</v>
      </c>
      <c r="B144" s="6">
        <v>44678</v>
      </c>
      <c r="C144" s="2" t="s">
        <v>1290</v>
      </c>
      <c r="D144" t="s">
        <v>6148</v>
      </c>
      <c r="E144" s="2">
        <v>4</v>
      </c>
      <c r="F144" s="2" t="str">
        <f>_xlfn.XLOOKUP(C144,customers!$A$1:$A$1001,customers!$B$1:$B$1001,,0,1)</f>
        <v>Julio Armytage</v>
      </c>
      <c r="G144" s="2" t="str">
        <f>IF((_xlfn.XLOOKUP(C144,customers!$A$2:$A$1001,customers!$C$2:$C$1001,,,)=0),"",(_xlfn.XLOOKUP(C144,customers!$A$2:$A$1001,customers!$C$2:$C$1001,,0,)))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2"/>
        <v>136.61999999999998</v>
      </c>
      <c r="N144" t="str" cm="1">
        <f t="array" ref="N144">_xlfn.IFS(I144="rob","Robusta",I144="exc","Excesla",I144="ara","Arabica",I144="lib","Liberica")</f>
        <v>Excesla</v>
      </c>
      <c r="O144" t="str" cm="1">
        <f t="array" ref="O144">_xlfn.IFS(J144="m","Medium",J144="l","Light",J144="d","Dark")</f>
        <v>Light</v>
      </c>
      <c r="P144" t="str">
        <f>_xlfn.XLOOKUP(orders[[#This Row],[Customer ID]],customers!$A$2:$A$1001,customers!$I$2:$I$1001,,0)</f>
        <v>Yes</v>
      </c>
    </row>
    <row r="145" spans="1:16" x14ac:dyDescent="0.3">
      <c r="A145" s="2" t="s">
        <v>1293</v>
      </c>
      <c r="B145" s="6">
        <v>44083</v>
      </c>
      <c r="C145" s="2" t="s">
        <v>1294</v>
      </c>
      <c r="D145" t="s">
        <v>6160</v>
      </c>
      <c r="E145" s="2">
        <v>2</v>
      </c>
      <c r="F145" s="2" t="str">
        <f>_xlfn.XLOOKUP(C145,customers!$A$1:$A$1001,customers!$B$1:$B$1001,,0,1)</f>
        <v>Deana Staite</v>
      </c>
      <c r="G145" s="2" t="str">
        <f>IF((_xlfn.XLOOKUP(C145,customers!$A$2:$A$1001,customers!$C$2:$C$1001,,,)=0),"",(_xlfn.XLOOKUP(C145,customers!$A$2:$A$1001,customers!$C$2:$C$1001,,0,)))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2"/>
        <v>17.46</v>
      </c>
      <c r="N145" t="str" cm="1">
        <f t="array" ref="N145">_xlfn.IFS(I145="rob","Robusta",I145="exc","Excesla",I145="ara","Arabica",I145="lib","Liberica")</f>
        <v>Liberica</v>
      </c>
      <c r="O145" t="str" cm="1">
        <f t="array" ref="O145">_xlfn.IFS(J145="m","Medium",J145="l","Light",J145="d","Dark")</f>
        <v>Medium</v>
      </c>
      <c r="P145" t="str">
        <f>_xlfn.XLOOKUP(orders[[#This Row],[Customer ID]],customers!$A$2:$A$1001,customers!$I$2:$I$1001,,0)</f>
        <v>No</v>
      </c>
    </row>
    <row r="146" spans="1:16" x14ac:dyDescent="0.3">
      <c r="A146" s="2" t="s">
        <v>1299</v>
      </c>
      <c r="B146" s="6">
        <v>44265</v>
      </c>
      <c r="C146" s="2" t="s">
        <v>1300</v>
      </c>
      <c r="D146" t="s">
        <v>6148</v>
      </c>
      <c r="E146" s="2">
        <v>2</v>
      </c>
      <c r="F146" s="2" t="str">
        <f>_xlfn.XLOOKUP(C146,customers!$A$1:$A$1001,customers!$B$1:$B$1001,,0,1)</f>
        <v>Winn Keyse</v>
      </c>
      <c r="G146" s="2" t="str">
        <f>IF((_xlfn.XLOOKUP(C146,customers!$A$2:$A$1001,customers!$C$2:$C$1001,,,)=0),"",(_xlfn.XLOOKUP(C146,customers!$A$2:$A$1001,customers!$C$2:$C$1001,,0,)))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2"/>
        <v>68.309999999999988</v>
      </c>
      <c r="N146" t="str" cm="1">
        <f t="array" ref="N146">_xlfn.IFS(I146="rob","Robusta",I146="exc","Excesla",I146="ara","Arabica",I146="lib","Liberica")</f>
        <v>Excesla</v>
      </c>
      <c r="O146" t="str" cm="1">
        <f t="array" ref="O146">_xlfn.IFS(J146="m","Medium",J146="l","Light",J146="d","Dark")</f>
        <v>Light</v>
      </c>
      <c r="P146" t="str">
        <f>_xlfn.XLOOKUP(orders[[#This Row],[Customer ID]],customers!$A$2:$A$1001,customers!$I$2:$I$1001,,0)</f>
        <v>Yes</v>
      </c>
    </row>
    <row r="147" spans="1:16" x14ac:dyDescent="0.3">
      <c r="A147" s="2" t="s">
        <v>1305</v>
      </c>
      <c r="B147" s="6">
        <v>43562</v>
      </c>
      <c r="C147" s="2" t="s">
        <v>1306</v>
      </c>
      <c r="D147" t="s">
        <v>6159</v>
      </c>
      <c r="E147" s="2">
        <v>4</v>
      </c>
      <c r="F147" s="2" t="str">
        <f>_xlfn.XLOOKUP(C147,customers!$A$1:$A$1001,customers!$B$1:$B$1001,,0,1)</f>
        <v>Osmund Clausen-Thue</v>
      </c>
      <c r="G147" s="2" t="str">
        <f>IF((_xlfn.XLOOKUP(C147,customers!$A$2:$A$1001,customers!$C$2:$C$1001,,,)=0),"",(_xlfn.XLOOKUP(C147,customers!$A$2:$A$1001,customers!$C$2:$C$1001,,0,)))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2"/>
        <v>17.46</v>
      </c>
      <c r="N147" t="str" cm="1">
        <f t="array" ref="N147">_xlfn.IFS(I147="rob","Robusta",I147="exc","Excesla",I147="ara","Arabica",I147="lib","Liberica")</f>
        <v>Liberica</v>
      </c>
      <c r="O147" t="str" cm="1">
        <f t="array" ref="O147">_xlfn.IFS(J147="m","Medium",J147="l","Light",J147="d","Dark")</f>
        <v>Medium</v>
      </c>
      <c r="P147" t="str">
        <f>_xlfn.XLOOKUP(orders[[#This Row],[Customer ID]],customers!$A$2:$A$1001,customers!$I$2:$I$1001,,0)</f>
        <v>No</v>
      </c>
    </row>
    <row r="148" spans="1:16" x14ac:dyDescent="0.3">
      <c r="A148" s="2" t="s">
        <v>1311</v>
      </c>
      <c r="B148" s="6">
        <v>44024</v>
      </c>
      <c r="C148" s="2" t="s">
        <v>1312</v>
      </c>
      <c r="D148" t="s">
        <v>6162</v>
      </c>
      <c r="E148" s="2">
        <v>3</v>
      </c>
      <c r="F148" s="2" t="str">
        <f>_xlfn.XLOOKUP(C148,customers!$A$1:$A$1001,customers!$B$1:$B$1001,,0,1)</f>
        <v>Leonore Francisco</v>
      </c>
      <c r="G148" s="2" t="str">
        <f>IF((_xlfn.XLOOKUP(C148,customers!$A$2:$A$1001,customers!$C$2:$C$1001,,,)=0),"",(_xlfn.XLOOKUP(C148,customers!$A$2:$A$1001,customers!$C$2:$C$1001,,0,)))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2"/>
        <v>43.650000000000006</v>
      </c>
      <c r="N148" t="str" cm="1">
        <f t="array" ref="N148">_xlfn.IFS(I148="rob","Robusta",I148="exc","Excesla",I148="ara","Arabica",I148="lib","Liberica")</f>
        <v>Liberica</v>
      </c>
      <c r="O148" t="str" cm="1">
        <f t="array" ref="O148">_xlfn.IFS(J148="m","Medium",J148="l","Light",J148="d","Dark")</f>
        <v>Medium</v>
      </c>
      <c r="P148" t="str">
        <f>_xlfn.XLOOKUP(orders[[#This Row],[Customer ID]],customers!$A$2:$A$1001,customers!$I$2:$I$1001,,0)</f>
        <v>No</v>
      </c>
    </row>
    <row r="149" spans="1:16" x14ac:dyDescent="0.3">
      <c r="A149" s="2" t="s">
        <v>1311</v>
      </c>
      <c r="B149" s="6">
        <v>44024</v>
      </c>
      <c r="C149" s="2" t="s">
        <v>1312</v>
      </c>
      <c r="D149" t="s">
        <v>6141</v>
      </c>
      <c r="E149" s="2">
        <v>2</v>
      </c>
      <c r="F149" s="2" t="str">
        <f>_xlfn.XLOOKUP(C149,customers!$A$1:$A$1001,customers!$B$1:$B$1001,,0,1)</f>
        <v>Leonore Francisco</v>
      </c>
      <c r="G149" s="2" t="str">
        <f>IF((_xlfn.XLOOKUP(C149,customers!$A$2:$A$1001,customers!$C$2:$C$1001,,,)=0),"",(_xlfn.XLOOKUP(C149,customers!$A$2:$A$1001,customers!$C$2:$C$1001,,0,)))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2"/>
        <v>27.5</v>
      </c>
      <c r="N149" t="str" cm="1">
        <f t="array" ref="N149">_xlfn.IFS(I149="rob","Robusta",I149="exc","Excesla",I149="ara","Arabica",I149="lib","Liberica")</f>
        <v>Excesla</v>
      </c>
      <c r="O149" t="str" cm="1">
        <f t="array" ref="O149">_xlfn.IFS(J149="m","Medium",J149="l","Light",J149="d","Dark")</f>
        <v>Medium</v>
      </c>
      <c r="P149" t="str">
        <f>_xlfn.XLOOKUP(orders[[#This Row],[Customer ID]],customers!$A$2:$A$1001,customers!$I$2:$I$1001,,0)</f>
        <v>No</v>
      </c>
    </row>
    <row r="150" spans="1:16" x14ac:dyDescent="0.3">
      <c r="A150" s="2" t="s">
        <v>1322</v>
      </c>
      <c r="B150" s="6">
        <v>44551</v>
      </c>
      <c r="C150" s="2" t="s">
        <v>1323</v>
      </c>
      <c r="D150" t="s">
        <v>6153</v>
      </c>
      <c r="E150" s="2">
        <v>5</v>
      </c>
      <c r="F150" s="2" t="str">
        <f>_xlfn.XLOOKUP(C150,customers!$A$1:$A$1001,customers!$B$1:$B$1001,,0,1)</f>
        <v>Giacobo Skingle</v>
      </c>
      <c r="G150" s="2" t="str">
        <f>IF((_xlfn.XLOOKUP(C150,customers!$A$2:$A$1001,customers!$C$2:$C$1001,,,)=0),"",(_xlfn.XLOOKUP(C150,customers!$A$2:$A$1001,customers!$C$2:$C$1001,,0,)))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2"/>
        <v>18.225000000000001</v>
      </c>
      <c r="N150" t="str" cm="1">
        <f t="array" ref="N150">_xlfn.IFS(I150="rob","Robusta",I150="exc","Excesla",I150="ara","Arabica",I150="lib","Liberica")</f>
        <v>Excesla</v>
      </c>
      <c r="O150" t="str" cm="1">
        <f t="array" ref="O150">_xlfn.IFS(J150="m","Medium",J150="l","Light",J150="d","Dark")</f>
        <v>Dark</v>
      </c>
      <c r="P150" t="str">
        <f>_xlfn.XLOOKUP(orders[[#This Row],[Customer ID]],customers!$A$2:$A$1001,customers!$I$2:$I$1001,,0)</f>
        <v>Yes</v>
      </c>
    </row>
    <row r="151" spans="1:16" x14ac:dyDescent="0.3">
      <c r="A151" s="2" t="s">
        <v>1328</v>
      </c>
      <c r="B151" s="6">
        <v>44108</v>
      </c>
      <c r="C151" s="2" t="s">
        <v>1329</v>
      </c>
      <c r="D151" t="s">
        <v>6175</v>
      </c>
      <c r="E151" s="2">
        <v>2</v>
      </c>
      <c r="F151" s="2" t="str">
        <f>_xlfn.XLOOKUP(C151,customers!$A$1:$A$1001,customers!$B$1:$B$1001,,0,1)</f>
        <v>Gerard Pirdy</v>
      </c>
      <c r="G151" s="2" t="str">
        <f>IF((_xlfn.XLOOKUP(C151,customers!$A$2:$A$1001,customers!$C$2:$C$1001,,,)=0),"",(_xlfn.XLOOKUP(C151,customers!$A$2:$A$1001,customers!$C$2:$C$1001,,0,)))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2"/>
        <v>51.749999999999993</v>
      </c>
      <c r="N151" t="str" cm="1">
        <f t="array" ref="N151">_xlfn.IFS(I151="rob","Robusta",I151="exc","Excesla",I151="ara","Arabica",I151="lib","Liberica")</f>
        <v>Arabica</v>
      </c>
      <c r="O151" t="str" cm="1">
        <f t="array" ref="O151">_xlfn.IFS(J151="m","Medium",J151="l","Light",J151="d","Dark")</f>
        <v>Medium</v>
      </c>
      <c r="P151" t="str">
        <f>_xlfn.XLOOKUP(orders[[#This Row],[Customer ID]],customers!$A$2:$A$1001,customers!$I$2:$I$1001,,0)</f>
        <v>Yes</v>
      </c>
    </row>
    <row r="152" spans="1:16" x14ac:dyDescent="0.3">
      <c r="A152" s="2" t="s">
        <v>1333</v>
      </c>
      <c r="B152" s="6">
        <v>44051</v>
      </c>
      <c r="C152" s="2" t="s">
        <v>1334</v>
      </c>
      <c r="D152" t="s">
        <v>6143</v>
      </c>
      <c r="E152" s="2">
        <v>1</v>
      </c>
      <c r="F152" s="2" t="str">
        <f>_xlfn.XLOOKUP(C152,customers!$A$1:$A$1001,customers!$B$1:$B$1001,,0,1)</f>
        <v>Jacinthe Balsillie</v>
      </c>
      <c r="G152" s="2" t="str">
        <f>IF((_xlfn.XLOOKUP(C152,customers!$A$2:$A$1001,customers!$C$2:$C$1001,,,)=0),"",(_xlfn.XLOOKUP(C152,customers!$A$2:$A$1001,customers!$C$2:$C$1001,,0,)))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2"/>
        <v>12.95</v>
      </c>
      <c r="N152" t="str" cm="1">
        <f t="array" ref="N152">_xlfn.IFS(I152="rob","Robusta",I152="exc","Excesla",I152="ara","Arabica",I152="lib","Liberica")</f>
        <v>Liberica</v>
      </c>
      <c r="O152" t="str" cm="1">
        <f t="array" ref="O152">_xlfn.IFS(J152="m","Medium",J152="l","Light",J152="d","Dark")</f>
        <v>Dark</v>
      </c>
      <c r="P152" t="str">
        <f>_xlfn.XLOOKUP(orders[[#This Row],[Customer ID]],customers!$A$2:$A$1001,customers!$I$2:$I$1001,,0)</f>
        <v>Yes</v>
      </c>
    </row>
    <row r="153" spans="1:16" x14ac:dyDescent="0.3">
      <c r="A153" s="2" t="s">
        <v>1339</v>
      </c>
      <c r="B153" s="6">
        <v>44115</v>
      </c>
      <c r="C153" s="2" t="s">
        <v>1340</v>
      </c>
      <c r="D153" t="s">
        <v>6155</v>
      </c>
      <c r="E153" s="2">
        <v>3</v>
      </c>
      <c r="F153" s="2" t="str">
        <f>_xlfn.XLOOKUP(C153,customers!$A$1:$A$1001,customers!$B$1:$B$1001,,0,1)</f>
        <v>Quinton Fouracres</v>
      </c>
      <c r="G153" s="2" t="str">
        <f>IF((_xlfn.XLOOKUP(C153,customers!$A$2:$A$1001,customers!$C$2:$C$1001,,,)=0),"",(_xlfn.XLOOKUP(C153,customers!$A$2:$A$1001,customers!$C$2:$C$1001,,0,)))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2"/>
        <v>33.75</v>
      </c>
      <c r="N153" t="str" cm="1">
        <f t="array" ref="N153">_xlfn.IFS(I153="rob","Robusta",I153="exc","Excesla",I153="ara","Arabica",I153="lib","Liberica")</f>
        <v>Arabica</v>
      </c>
      <c r="O153" t="str" cm="1">
        <f t="array" ref="O153">_xlfn.IFS(J153="m","Medium",J153="l","Light",J153="d","Dark")</f>
        <v>Medium</v>
      </c>
      <c r="P153" t="str">
        <f>_xlfn.XLOOKUP(orders[[#This Row],[Customer ID]],customers!$A$2:$A$1001,customers!$I$2:$I$1001,,0)</f>
        <v>Yes</v>
      </c>
    </row>
    <row r="154" spans="1:16" x14ac:dyDescent="0.3">
      <c r="A154" s="2" t="s">
        <v>1344</v>
      </c>
      <c r="B154" s="6">
        <v>44510</v>
      </c>
      <c r="C154" s="2" t="s">
        <v>1345</v>
      </c>
      <c r="D154" t="s">
        <v>6151</v>
      </c>
      <c r="E154" s="2">
        <v>3</v>
      </c>
      <c r="F154" s="2" t="str">
        <f>_xlfn.XLOOKUP(C154,customers!$A$1:$A$1001,customers!$B$1:$B$1001,,0,1)</f>
        <v>Bettina Leffek</v>
      </c>
      <c r="G154" s="2" t="str">
        <f>IF((_xlfn.XLOOKUP(C154,customers!$A$2:$A$1001,customers!$C$2:$C$1001,,,)=0),"",(_xlfn.XLOOKUP(C154,customers!$A$2:$A$1001,customers!$C$2:$C$1001,,0,)))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2"/>
        <v>68.655000000000001</v>
      </c>
      <c r="N154" t="str" cm="1">
        <f t="array" ref="N154">_xlfn.IFS(I154="rob","Robusta",I154="exc","Excesla",I154="ara","Arabica",I154="lib","Liberica")</f>
        <v>Robusta</v>
      </c>
      <c r="O154" t="str" cm="1">
        <f t="array" ref="O154">_xlfn.IFS(J154="m","Medium",J154="l","Light",J154="d","Dark")</f>
        <v>Medium</v>
      </c>
      <c r="P154" t="str">
        <f>_xlfn.XLOOKUP(orders[[#This Row],[Customer ID]],customers!$A$2:$A$1001,customers!$I$2:$I$1001,,0)</f>
        <v>Yes</v>
      </c>
    </row>
    <row r="155" spans="1:16" x14ac:dyDescent="0.3">
      <c r="A155" s="2" t="s">
        <v>1350</v>
      </c>
      <c r="B155" s="6">
        <v>44367</v>
      </c>
      <c r="C155" s="2" t="s">
        <v>1351</v>
      </c>
      <c r="D155" t="s">
        <v>6163</v>
      </c>
      <c r="E155" s="2">
        <v>1</v>
      </c>
      <c r="F155" s="2" t="str">
        <f>_xlfn.XLOOKUP(C155,customers!$A$1:$A$1001,customers!$B$1:$B$1001,,0,1)</f>
        <v>Hetti Penson</v>
      </c>
      <c r="G155" s="2" t="str">
        <f>IF((_xlfn.XLOOKUP(C155,customers!$A$2:$A$1001,customers!$C$2:$C$1001,,,)=0),"",(_xlfn.XLOOKUP(C155,customers!$A$2:$A$1001,customers!$C$2:$C$1001,,0,)))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2"/>
        <v>2.6849999999999996</v>
      </c>
      <c r="N155" t="str" cm="1">
        <f t="array" ref="N155">_xlfn.IFS(I155="rob","Robusta",I155="exc","Excesla",I155="ara","Arabica",I155="lib","Liberica")</f>
        <v>Robusta</v>
      </c>
      <c r="O155" t="str" cm="1">
        <f t="array" ref="O155">_xlfn.IFS(J155="m","Medium",J155="l","Light",J155="d","Dark")</f>
        <v>Dark</v>
      </c>
      <c r="P155" t="str">
        <f>_xlfn.XLOOKUP(orders[[#This Row],[Customer ID]],customers!$A$2:$A$1001,customers!$I$2:$I$1001,,0)</f>
        <v>No</v>
      </c>
    </row>
    <row r="156" spans="1:16" x14ac:dyDescent="0.3">
      <c r="A156" s="2" t="s">
        <v>1355</v>
      </c>
      <c r="B156" s="6">
        <v>44473</v>
      </c>
      <c r="C156" s="2" t="s">
        <v>1356</v>
      </c>
      <c r="D156" t="s">
        <v>6168</v>
      </c>
      <c r="E156" s="2">
        <v>5</v>
      </c>
      <c r="F156" s="2" t="str">
        <f>_xlfn.XLOOKUP(C156,customers!$A$1:$A$1001,customers!$B$1:$B$1001,,0,1)</f>
        <v>Jocko Pray</v>
      </c>
      <c r="G156" s="2" t="str">
        <f>IF((_xlfn.XLOOKUP(C156,customers!$A$2:$A$1001,customers!$C$2:$C$1001,,,)=0),"",(_xlfn.XLOOKUP(C156,customers!$A$2:$A$1001,customers!$C$2:$C$1001,,0,)))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2"/>
        <v>114.42499999999998</v>
      </c>
      <c r="N156" t="str" cm="1">
        <f t="array" ref="N156">_xlfn.IFS(I156="rob","Robusta",I156="exc","Excesla",I156="ara","Arabica",I156="lib","Liberica")</f>
        <v>Arabica</v>
      </c>
      <c r="O156" t="str" cm="1">
        <f t="array" ref="O156">_xlfn.IFS(J156="m","Medium",J156="l","Light",J156="d","Dark")</f>
        <v>Dark</v>
      </c>
      <c r="P156" t="str">
        <f>_xlfn.XLOOKUP(orders[[#This Row],[Customer ID]],customers!$A$2:$A$1001,customers!$I$2:$I$1001,,0)</f>
        <v>No</v>
      </c>
    </row>
    <row r="157" spans="1:16" x14ac:dyDescent="0.3">
      <c r="A157" s="2" t="s">
        <v>1361</v>
      </c>
      <c r="B157" s="6">
        <v>43640</v>
      </c>
      <c r="C157" s="2" t="s">
        <v>1362</v>
      </c>
      <c r="D157" t="s">
        <v>6175</v>
      </c>
      <c r="E157" s="2">
        <v>6</v>
      </c>
      <c r="F157" s="2" t="str">
        <f>_xlfn.XLOOKUP(C157,customers!$A$1:$A$1001,customers!$B$1:$B$1001,,0,1)</f>
        <v>Grete Holborn</v>
      </c>
      <c r="G157" s="2" t="str">
        <f>IF((_xlfn.XLOOKUP(C157,customers!$A$2:$A$1001,customers!$C$2:$C$1001,,,)=0),"",(_xlfn.XLOOKUP(C157,customers!$A$2:$A$1001,customers!$C$2:$C$1001,,0,)))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2"/>
        <v>155.24999999999997</v>
      </c>
      <c r="N157" t="str" cm="1">
        <f t="array" ref="N157">_xlfn.IFS(I157="rob","Robusta",I157="exc","Excesla",I157="ara","Arabica",I157="lib","Liberica")</f>
        <v>Arabica</v>
      </c>
      <c r="O157" t="str" cm="1">
        <f t="array" ref="O157">_xlfn.IFS(J157="m","Medium",J157="l","Light",J157="d","Dark")</f>
        <v>Medium</v>
      </c>
      <c r="P157" t="str">
        <f>_xlfn.XLOOKUP(orders[[#This Row],[Customer ID]],customers!$A$2:$A$1001,customers!$I$2:$I$1001,,0)</f>
        <v>Yes</v>
      </c>
    </row>
    <row r="158" spans="1:16" x14ac:dyDescent="0.3">
      <c r="A158" s="2" t="s">
        <v>1367</v>
      </c>
      <c r="B158" s="6">
        <v>43764</v>
      </c>
      <c r="C158" s="2" t="s">
        <v>1368</v>
      </c>
      <c r="D158" t="s">
        <v>6175</v>
      </c>
      <c r="E158" s="2">
        <v>3</v>
      </c>
      <c r="F158" s="2" t="str">
        <f>_xlfn.XLOOKUP(C158,customers!$A$1:$A$1001,customers!$B$1:$B$1001,,0,1)</f>
        <v>Fielding Keinrat</v>
      </c>
      <c r="G158" s="2" t="str">
        <f>IF((_xlfn.XLOOKUP(C158,customers!$A$2:$A$1001,customers!$C$2:$C$1001,,,)=0),"",(_xlfn.XLOOKUP(C158,customers!$A$2:$A$1001,customers!$C$2:$C$1001,,0,)))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2"/>
        <v>77.624999999999986</v>
      </c>
      <c r="N158" t="str" cm="1">
        <f t="array" ref="N158">_xlfn.IFS(I158="rob","Robusta",I158="exc","Excesla",I158="ara","Arabica",I158="lib","Liberica")</f>
        <v>Arabica</v>
      </c>
      <c r="O158" t="str" cm="1">
        <f t="array" ref="O158">_xlfn.IFS(J158="m","Medium",J158="l","Light",J158="d","Dark")</f>
        <v>Medium</v>
      </c>
      <c r="P158" t="str">
        <f>_xlfn.XLOOKUP(orders[[#This Row],[Customer ID]],customers!$A$2:$A$1001,customers!$I$2:$I$1001,,0)</f>
        <v>Yes</v>
      </c>
    </row>
    <row r="159" spans="1:16" x14ac:dyDescent="0.3">
      <c r="A159" s="2" t="s">
        <v>1373</v>
      </c>
      <c r="B159" s="6">
        <v>44374</v>
      </c>
      <c r="C159" s="2" t="s">
        <v>1374</v>
      </c>
      <c r="D159" t="s">
        <v>6149</v>
      </c>
      <c r="E159" s="2">
        <v>3</v>
      </c>
      <c r="F159" s="2" t="str">
        <f>_xlfn.XLOOKUP(C159,customers!$A$1:$A$1001,customers!$B$1:$B$1001,,0,1)</f>
        <v>Paulo Yea</v>
      </c>
      <c r="G159" s="2" t="str">
        <f>IF((_xlfn.XLOOKUP(C159,customers!$A$2:$A$1001,customers!$C$2:$C$1001,,,)=0),"",(_xlfn.XLOOKUP(C159,customers!$A$2:$A$1001,customers!$C$2:$C$1001,,0,)))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2"/>
        <v>61.754999999999995</v>
      </c>
      <c r="N159" t="str" cm="1">
        <f t="array" ref="N159">_xlfn.IFS(I159="rob","Robusta",I159="exc","Excesla",I159="ara","Arabica",I159="lib","Liberica")</f>
        <v>Robusta</v>
      </c>
      <c r="O159" t="str" cm="1">
        <f t="array" ref="O159">_xlfn.IFS(J159="m","Medium",J159="l","Light",J159="d","Dark")</f>
        <v>Dark</v>
      </c>
      <c r="P159" t="str">
        <f>_xlfn.XLOOKUP(orders[[#This Row],[Customer ID]],customers!$A$2:$A$1001,customers!$I$2:$I$1001,,0)</f>
        <v>No</v>
      </c>
    </row>
    <row r="160" spans="1:16" x14ac:dyDescent="0.3">
      <c r="A160" s="2" t="s">
        <v>1379</v>
      </c>
      <c r="B160" s="6">
        <v>43714</v>
      </c>
      <c r="C160" s="2" t="s">
        <v>1380</v>
      </c>
      <c r="D160" t="s">
        <v>6149</v>
      </c>
      <c r="E160" s="2">
        <v>6</v>
      </c>
      <c r="F160" s="2" t="str">
        <f>_xlfn.XLOOKUP(C160,customers!$A$1:$A$1001,customers!$B$1:$B$1001,,0,1)</f>
        <v>Say Risborough</v>
      </c>
      <c r="G160" s="2" t="str">
        <f>IF((_xlfn.XLOOKUP(C160,customers!$A$2:$A$1001,customers!$C$2:$C$1001,,,)=0),"",(_xlfn.XLOOKUP(C160,customers!$A$2:$A$1001,customers!$C$2:$C$1001,,0,)))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2"/>
        <v>123.50999999999999</v>
      </c>
      <c r="N160" t="str" cm="1">
        <f t="array" ref="N160">_xlfn.IFS(I160="rob","Robusta",I160="exc","Excesla",I160="ara","Arabica",I160="lib","Liberica")</f>
        <v>Robusta</v>
      </c>
      <c r="O160" t="str" cm="1">
        <f t="array" ref="O160">_xlfn.IFS(J160="m","Medium",J160="l","Light",J160="d","Dark")</f>
        <v>Dark</v>
      </c>
      <c r="P160" t="str">
        <f>_xlfn.XLOOKUP(orders[[#This Row],[Customer ID]],customers!$A$2:$A$1001,customers!$I$2:$I$1001,,0)</f>
        <v>Yes</v>
      </c>
    </row>
    <row r="161" spans="1:16" x14ac:dyDescent="0.3">
      <c r="A161" s="2" t="s">
        <v>1384</v>
      </c>
      <c r="B161" s="6">
        <v>44316</v>
      </c>
      <c r="C161" s="2" t="s">
        <v>1385</v>
      </c>
      <c r="D161" t="s">
        <v>6164</v>
      </c>
      <c r="E161" s="2">
        <v>6</v>
      </c>
      <c r="F161" s="2" t="str">
        <f>_xlfn.XLOOKUP(C161,customers!$A$1:$A$1001,customers!$B$1:$B$1001,,0,1)</f>
        <v>Alexa Sizey</v>
      </c>
      <c r="G161" s="2" t="str">
        <f>IF((_xlfn.XLOOKUP(C161,customers!$A$2:$A$1001,customers!$C$2:$C$1001,,,)=0),"",(_xlfn.XLOOKUP(C161,customers!$A$2:$A$1001,customers!$C$2:$C$1001,,0,)))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2"/>
        <v>218.73</v>
      </c>
      <c r="N161" t="str" cm="1">
        <f t="array" ref="N161">_xlfn.IFS(I161="rob","Robusta",I161="exc","Excesla",I161="ara","Arabica",I161="lib","Liberica")</f>
        <v>Liberica</v>
      </c>
      <c r="O161" t="str" cm="1">
        <f t="array" ref="O161">_xlfn.IFS(J161="m","Medium",J161="l","Light",J161="d","Dark")</f>
        <v>Light</v>
      </c>
      <c r="P161" t="str">
        <f>_xlfn.XLOOKUP(orders[[#This Row],[Customer ID]],customers!$A$2:$A$1001,customers!$I$2:$I$1001,,0)</f>
        <v>No</v>
      </c>
    </row>
    <row r="162" spans="1:16" x14ac:dyDescent="0.3">
      <c r="A162" s="2" t="s">
        <v>1389</v>
      </c>
      <c r="B162" s="6">
        <v>43837</v>
      </c>
      <c r="C162" s="2" t="s">
        <v>1390</v>
      </c>
      <c r="D162" t="s">
        <v>6139</v>
      </c>
      <c r="E162" s="2">
        <v>4</v>
      </c>
      <c r="F162" s="2" t="str">
        <f>_xlfn.XLOOKUP(C162,customers!$A$1:$A$1001,customers!$B$1:$B$1001,,0,1)</f>
        <v>Kari Swede</v>
      </c>
      <c r="G162" s="2" t="str">
        <f>IF((_xlfn.XLOOKUP(C162,customers!$A$2:$A$1001,customers!$C$2:$C$1001,,,)=0),"",(_xlfn.XLOOKUP(C162,customers!$A$2:$A$1001,customers!$C$2:$C$1001,,0,)))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2"/>
        <v>33</v>
      </c>
      <c r="N162" t="str" cm="1">
        <f t="array" ref="N162">_xlfn.IFS(I162="rob","Robusta",I162="exc","Excesla",I162="ara","Arabica",I162="lib","Liberica")</f>
        <v>Excesla</v>
      </c>
      <c r="O162" t="str" cm="1">
        <f t="array" ref="O162">_xlfn.IFS(J162="m","Medium",J162="l","Light",J162="d","Dark")</f>
        <v>Medium</v>
      </c>
      <c r="P162" t="str">
        <f>_xlfn.XLOOKUP(orders[[#This Row],[Customer ID]],customers!$A$2:$A$1001,customers!$I$2:$I$1001,,0)</f>
        <v>No</v>
      </c>
    </row>
    <row r="163" spans="1:16" x14ac:dyDescent="0.3">
      <c r="A163" s="2" t="s">
        <v>1395</v>
      </c>
      <c r="B163" s="6">
        <v>44207</v>
      </c>
      <c r="C163" s="2" t="s">
        <v>1396</v>
      </c>
      <c r="D163" t="s">
        <v>6180</v>
      </c>
      <c r="E163" s="2">
        <v>3</v>
      </c>
      <c r="F163" s="2" t="str">
        <f>_xlfn.XLOOKUP(C163,customers!$A$1:$A$1001,customers!$B$1:$B$1001,,0,1)</f>
        <v>Leontine Rubrow</v>
      </c>
      <c r="G163" s="2" t="str">
        <f>IF((_xlfn.XLOOKUP(C163,customers!$A$2:$A$1001,customers!$C$2:$C$1001,,,)=0),"",(_xlfn.XLOOKUP(C163,customers!$A$2:$A$1001,customers!$C$2:$C$1001,,0,)))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2"/>
        <v>23.31</v>
      </c>
      <c r="N163" t="str" cm="1">
        <f t="array" ref="N163">_xlfn.IFS(I163="rob","Robusta",I163="exc","Excesla",I163="ara","Arabica",I163="lib","Liberica")</f>
        <v>Arabica</v>
      </c>
      <c r="O163" t="str" cm="1">
        <f t="array" ref="O163">_xlfn.IFS(J163="m","Medium",J163="l","Light",J163="d","Dark")</f>
        <v>Light</v>
      </c>
      <c r="P163" t="str">
        <f>_xlfn.XLOOKUP(orders[[#This Row],[Customer ID]],customers!$A$2:$A$1001,customers!$I$2:$I$1001,,0)</f>
        <v>No</v>
      </c>
    </row>
    <row r="164" spans="1:16" x14ac:dyDescent="0.3">
      <c r="A164" s="2" t="s">
        <v>1401</v>
      </c>
      <c r="B164" s="6">
        <v>44515</v>
      </c>
      <c r="C164" s="2" t="s">
        <v>1402</v>
      </c>
      <c r="D164" t="s">
        <v>6144</v>
      </c>
      <c r="E164" s="2">
        <v>3</v>
      </c>
      <c r="F164" s="2" t="str">
        <f>_xlfn.XLOOKUP(C164,customers!$A$1:$A$1001,customers!$B$1:$B$1001,,0,1)</f>
        <v>Dottie Tift</v>
      </c>
      <c r="G164" s="2" t="str">
        <f>IF((_xlfn.XLOOKUP(C164,customers!$A$2:$A$1001,customers!$C$2:$C$1001,,,)=0),"",(_xlfn.XLOOKUP(C164,customers!$A$2:$A$1001,customers!$C$2:$C$1001,,0,)))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2"/>
        <v>21.87</v>
      </c>
      <c r="N164" t="str" cm="1">
        <f t="array" ref="N164">_xlfn.IFS(I164="rob","Robusta",I164="exc","Excesla",I164="ara","Arabica",I164="lib","Liberica")</f>
        <v>Excesla</v>
      </c>
      <c r="O164" t="str" cm="1">
        <f t="array" ref="O164">_xlfn.IFS(J164="m","Medium",J164="l","Light",J164="d","Dark")</f>
        <v>Dark</v>
      </c>
      <c r="P164" t="str">
        <f>_xlfn.XLOOKUP(orders[[#This Row],[Customer ID]],customers!$A$2:$A$1001,customers!$I$2:$I$1001,,0)</f>
        <v>Yes</v>
      </c>
    </row>
    <row r="165" spans="1:16" x14ac:dyDescent="0.3">
      <c r="A165" s="2" t="s">
        <v>1407</v>
      </c>
      <c r="B165" s="6">
        <v>43619</v>
      </c>
      <c r="C165" s="2" t="s">
        <v>1408</v>
      </c>
      <c r="D165" t="s">
        <v>6163</v>
      </c>
      <c r="E165" s="2">
        <v>6</v>
      </c>
      <c r="F165" s="2" t="str">
        <f>_xlfn.XLOOKUP(C165,customers!$A$1:$A$1001,customers!$B$1:$B$1001,,0,1)</f>
        <v>Gerardo Schonfeld</v>
      </c>
      <c r="G165" s="2" t="str">
        <f>IF((_xlfn.XLOOKUP(C165,customers!$A$2:$A$1001,customers!$C$2:$C$1001,,,)=0),"",(_xlfn.XLOOKUP(C165,customers!$A$2:$A$1001,customers!$C$2:$C$1001,,0,)))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2"/>
        <v>16.11</v>
      </c>
      <c r="N165" t="str" cm="1">
        <f t="array" ref="N165">_xlfn.IFS(I165="rob","Robusta",I165="exc","Excesla",I165="ara","Arabica",I165="lib","Liberica")</f>
        <v>Robusta</v>
      </c>
      <c r="O165" t="str" cm="1">
        <f t="array" ref="O165">_xlfn.IFS(J165="m","Medium",J165="l","Light",J165="d","Dark")</f>
        <v>Dark</v>
      </c>
      <c r="P165" t="str">
        <f>_xlfn.XLOOKUP(orders[[#This Row],[Customer ID]],customers!$A$2:$A$1001,customers!$I$2:$I$1001,,0)</f>
        <v>No</v>
      </c>
    </row>
    <row r="166" spans="1:16" x14ac:dyDescent="0.3">
      <c r="A166" s="2" t="s">
        <v>1413</v>
      </c>
      <c r="B166" s="6">
        <v>44182</v>
      </c>
      <c r="C166" s="2" t="s">
        <v>1414</v>
      </c>
      <c r="D166" t="s">
        <v>6144</v>
      </c>
      <c r="E166" s="2">
        <v>4</v>
      </c>
      <c r="F166" s="2" t="str">
        <f>_xlfn.XLOOKUP(C166,customers!$A$1:$A$1001,customers!$B$1:$B$1001,,0,1)</f>
        <v>Claiborne Feye</v>
      </c>
      <c r="G166" s="2" t="str">
        <f>IF((_xlfn.XLOOKUP(C166,customers!$A$2:$A$1001,customers!$C$2:$C$1001,,,)=0),"",(_xlfn.XLOOKUP(C166,customers!$A$2:$A$1001,customers!$C$2:$C$1001,,0,)))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2"/>
        <v>29.16</v>
      </c>
      <c r="N166" t="str" cm="1">
        <f t="array" ref="N166">_xlfn.IFS(I166="rob","Robusta",I166="exc","Excesla",I166="ara","Arabica",I166="lib","Liberica")</f>
        <v>Excesla</v>
      </c>
      <c r="O166" t="str" cm="1">
        <f t="array" ref="O166">_xlfn.IFS(J166="m","Medium",J166="l","Light",J166="d","Dark")</f>
        <v>Dark</v>
      </c>
      <c r="P166" t="str">
        <f>_xlfn.XLOOKUP(orders[[#This Row],[Customer ID]],customers!$A$2:$A$1001,customers!$I$2:$I$1001,,0)</f>
        <v>No</v>
      </c>
    </row>
    <row r="167" spans="1:16" x14ac:dyDescent="0.3">
      <c r="A167" s="2" t="s">
        <v>1420</v>
      </c>
      <c r="B167" s="6">
        <v>44234</v>
      </c>
      <c r="C167" s="2" t="s">
        <v>1421</v>
      </c>
      <c r="D167" t="s">
        <v>6177</v>
      </c>
      <c r="E167" s="2">
        <v>6</v>
      </c>
      <c r="F167" s="2" t="str">
        <f>_xlfn.XLOOKUP(C167,customers!$A$1:$A$1001,customers!$B$1:$B$1001,,0,1)</f>
        <v>Mina Elstone</v>
      </c>
      <c r="G167" s="2" t="str">
        <f>IF((_xlfn.XLOOKUP(C167,customers!$A$2:$A$1001,customers!$C$2:$C$1001,,,)=0),"",(_xlfn.XLOOKUP(C167,customers!$A$2:$A$1001,customers!$C$2:$C$1001,,0,)))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2"/>
        <v>53.699999999999996</v>
      </c>
      <c r="N167" t="str" cm="1">
        <f t="array" ref="N167">_xlfn.IFS(I167="rob","Robusta",I167="exc","Excesla",I167="ara","Arabica",I167="lib","Liberica")</f>
        <v>Robusta</v>
      </c>
      <c r="O167" t="str" cm="1">
        <f t="array" ref="O167">_xlfn.IFS(J167="m","Medium",J167="l","Light",J167="d","Dark")</f>
        <v>Dark</v>
      </c>
      <c r="P167" t="str">
        <f>_xlfn.XLOOKUP(orders[[#This Row],[Customer ID]],customers!$A$2:$A$1001,customers!$I$2:$I$1001,,0)</f>
        <v>Yes</v>
      </c>
    </row>
    <row r="168" spans="1:16" x14ac:dyDescent="0.3">
      <c r="A168" s="2" t="s">
        <v>1425</v>
      </c>
      <c r="B168" s="6">
        <v>44270</v>
      </c>
      <c r="C168" s="2" t="s">
        <v>1426</v>
      </c>
      <c r="D168" t="s">
        <v>6172</v>
      </c>
      <c r="E168" s="2">
        <v>5</v>
      </c>
      <c r="F168" s="2" t="str">
        <f>_xlfn.XLOOKUP(C168,customers!$A$1:$A$1001,customers!$B$1:$B$1001,,0,1)</f>
        <v>Sherman Mewrcik</v>
      </c>
      <c r="G168" s="2" t="str">
        <f>IF((_xlfn.XLOOKUP(C168,customers!$A$2:$A$1001,customers!$C$2:$C$1001,,,)=0),"",(_xlfn.XLOOKUP(C168,customers!$A$2:$A$1001,customers!$C$2:$C$1001,,0,)))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2"/>
        <v>26.849999999999994</v>
      </c>
      <c r="N168" t="str" cm="1">
        <f t="array" ref="N168">_xlfn.IFS(I168="rob","Robusta",I168="exc","Excesla",I168="ara","Arabica",I168="lib","Liberica")</f>
        <v>Robusta</v>
      </c>
      <c r="O168" t="str" cm="1">
        <f t="array" ref="O168">_xlfn.IFS(J168="m","Medium",J168="l","Light",J168="d","Dark")</f>
        <v>Dark</v>
      </c>
      <c r="P168" t="str">
        <f>_xlfn.XLOOKUP(orders[[#This Row],[Customer ID]],customers!$A$2:$A$1001,customers!$I$2:$I$1001,,0)</f>
        <v>Yes</v>
      </c>
    </row>
    <row r="169" spans="1:16" x14ac:dyDescent="0.3">
      <c r="A169" s="2" t="s">
        <v>1430</v>
      </c>
      <c r="B169" s="6">
        <v>44777</v>
      </c>
      <c r="C169" s="2" t="s">
        <v>1431</v>
      </c>
      <c r="D169" t="s">
        <v>6139</v>
      </c>
      <c r="E169" s="2">
        <v>5</v>
      </c>
      <c r="F169" s="2" t="str">
        <f>_xlfn.XLOOKUP(C169,customers!$A$1:$A$1001,customers!$B$1:$B$1001,,0,1)</f>
        <v>Tamarah Fero</v>
      </c>
      <c r="G169" s="2" t="str">
        <f>IF((_xlfn.XLOOKUP(C169,customers!$A$2:$A$1001,customers!$C$2:$C$1001,,,)=0),"",(_xlfn.XLOOKUP(C169,customers!$A$2:$A$1001,customers!$C$2:$C$1001,,0,)))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2"/>
        <v>41.25</v>
      </c>
      <c r="N169" t="str" cm="1">
        <f t="array" ref="N169">_xlfn.IFS(I169="rob","Robusta",I169="exc","Excesla",I169="ara","Arabica",I169="lib","Liberica")</f>
        <v>Excesla</v>
      </c>
      <c r="O169" t="str" cm="1">
        <f t="array" ref="O169">_xlfn.IFS(J169="m","Medium",J169="l","Light",J169="d","Dark")</f>
        <v>Medium</v>
      </c>
      <c r="P169" t="str">
        <f>_xlfn.XLOOKUP(orders[[#This Row],[Customer ID]],customers!$A$2:$A$1001,customers!$I$2:$I$1001,,0)</f>
        <v>Yes</v>
      </c>
    </row>
    <row r="170" spans="1:16" x14ac:dyDescent="0.3">
      <c r="A170" s="2" t="s">
        <v>1436</v>
      </c>
      <c r="B170" s="6">
        <v>43484</v>
      </c>
      <c r="C170" s="2" t="s">
        <v>1437</v>
      </c>
      <c r="D170" t="s">
        <v>6157</v>
      </c>
      <c r="E170" s="2">
        <v>6</v>
      </c>
      <c r="F170" s="2" t="str">
        <f>_xlfn.XLOOKUP(C170,customers!$A$1:$A$1001,customers!$B$1:$B$1001,,0,1)</f>
        <v>Stanislaus Valsler</v>
      </c>
      <c r="G170" s="2" t="str">
        <f>IF((_xlfn.XLOOKUP(C170,customers!$A$2:$A$1001,customers!$C$2:$C$1001,,,)=0),"",(_xlfn.XLOOKUP(C170,customers!$A$2:$A$1001,customers!$C$2:$C$1001,,0,)))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2"/>
        <v>40.5</v>
      </c>
      <c r="N170" t="str" cm="1">
        <f t="array" ref="N170">_xlfn.IFS(I170="rob","Robusta",I170="exc","Excesla",I170="ara","Arabica",I170="lib","Liberica")</f>
        <v>Arabica</v>
      </c>
      <c r="O170" t="str" cm="1">
        <f t="array" ref="O170">_xlfn.IFS(J170="m","Medium",J170="l","Light",J170="d","Dark")</f>
        <v>Medium</v>
      </c>
      <c r="P170" t="str">
        <f>_xlfn.XLOOKUP(orders[[#This Row],[Customer ID]],customers!$A$2:$A$1001,customers!$I$2:$I$1001,,0)</f>
        <v>No</v>
      </c>
    </row>
    <row r="171" spans="1:16" x14ac:dyDescent="0.3">
      <c r="A171" s="2" t="s">
        <v>1441</v>
      </c>
      <c r="B171" s="6">
        <v>44643</v>
      </c>
      <c r="C171" s="2" t="s">
        <v>1442</v>
      </c>
      <c r="D171" t="s">
        <v>6177</v>
      </c>
      <c r="E171" s="2">
        <v>2</v>
      </c>
      <c r="F171" s="2" t="str">
        <f>_xlfn.XLOOKUP(C171,customers!$A$1:$A$1001,customers!$B$1:$B$1001,,0,1)</f>
        <v>Felita Dauney</v>
      </c>
      <c r="G171" s="2" t="str">
        <f>IF((_xlfn.XLOOKUP(C171,customers!$A$2:$A$1001,customers!$C$2:$C$1001,,,)=0),"",(_xlfn.XLOOKUP(C171,customers!$A$2:$A$1001,customers!$C$2:$C$1001,,0,)))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2"/>
        <v>17.899999999999999</v>
      </c>
      <c r="N171" t="str" cm="1">
        <f t="array" ref="N171">_xlfn.IFS(I171="rob","Robusta",I171="exc","Excesla",I171="ara","Arabica",I171="lib","Liberica")</f>
        <v>Robusta</v>
      </c>
      <c r="O171" t="str" cm="1">
        <f t="array" ref="O171">_xlfn.IFS(J171="m","Medium",J171="l","Light",J171="d","Dark")</f>
        <v>Dark</v>
      </c>
      <c r="P171" t="str">
        <f>_xlfn.XLOOKUP(orders[[#This Row],[Customer ID]],customers!$A$2:$A$1001,customers!$I$2:$I$1001,,0)</f>
        <v>No</v>
      </c>
    </row>
    <row r="172" spans="1:16" x14ac:dyDescent="0.3">
      <c r="A172" s="2" t="s">
        <v>1448</v>
      </c>
      <c r="B172" s="6">
        <v>44476</v>
      </c>
      <c r="C172" s="2" t="s">
        <v>1449</v>
      </c>
      <c r="D172" t="s">
        <v>6148</v>
      </c>
      <c r="E172" s="2">
        <v>2</v>
      </c>
      <c r="F172" s="2" t="str">
        <f>_xlfn.XLOOKUP(C172,customers!$A$1:$A$1001,customers!$B$1:$B$1001,,0,1)</f>
        <v>Serena Earley</v>
      </c>
      <c r="G172" s="2" t="str">
        <f>IF((_xlfn.XLOOKUP(C172,customers!$A$2:$A$1001,customers!$C$2:$C$1001,,,)=0),"",(_xlfn.XLOOKUP(C172,customers!$A$2:$A$1001,customers!$C$2:$C$1001,,0,)))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2"/>
        <v>68.309999999999988</v>
      </c>
      <c r="N172" t="str" cm="1">
        <f t="array" ref="N172">_xlfn.IFS(I172="rob","Robusta",I172="exc","Excesla",I172="ara","Arabica",I172="lib","Liberica")</f>
        <v>Excesla</v>
      </c>
      <c r="O172" t="str" cm="1">
        <f t="array" ref="O172">_xlfn.IFS(J172="m","Medium",J172="l","Light",J172="d","Dark")</f>
        <v>Light</v>
      </c>
      <c r="P172" t="str">
        <f>_xlfn.XLOOKUP(orders[[#This Row],[Customer ID]],customers!$A$2:$A$1001,customers!$I$2:$I$1001,,0)</f>
        <v>No</v>
      </c>
    </row>
    <row r="173" spans="1:16" x14ac:dyDescent="0.3">
      <c r="A173" s="2" t="s">
        <v>1453</v>
      </c>
      <c r="B173" s="6">
        <v>43544</v>
      </c>
      <c r="C173" s="2" t="s">
        <v>1454</v>
      </c>
      <c r="D173" t="s">
        <v>6166</v>
      </c>
      <c r="E173" s="2">
        <v>2</v>
      </c>
      <c r="F173" s="2" t="str">
        <f>_xlfn.XLOOKUP(C173,customers!$A$1:$A$1001,customers!$B$1:$B$1001,,0,1)</f>
        <v>Minny Chamberlayne</v>
      </c>
      <c r="G173" s="2" t="str">
        <f>IF((_xlfn.XLOOKUP(C173,customers!$A$2:$A$1001,customers!$C$2:$C$1001,,,)=0),"",(_xlfn.XLOOKUP(C173,customers!$A$2:$A$1001,customers!$C$2:$C$1001,,0,)))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2"/>
        <v>63.249999999999993</v>
      </c>
      <c r="N173" t="str" cm="1">
        <f t="array" ref="N173">_xlfn.IFS(I173="rob","Robusta",I173="exc","Excesla",I173="ara","Arabica",I173="lib","Liberica")</f>
        <v>Excesla</v>
      </c>
      <c r="O173" t="str" cm="1">
        <f t="array" ref="O173">_xlfn.IFS(J173="m","Medium",J173="l","Light",J173="d","Dark")</f>
        <v>Medium</v>
      </c>
      <c r="P173" t="str">
        <f>_xlfn.XLOOKUP(orders[[#This Row],[Customer ID]],customers!$A$2:$A$1001,customers!$I$2:$I$1001,,0)</f>
        <v>Yes</v>
      </c>
    </row>
    <row r="174" spans="1:16" x14ac:dyDescent="0.3">
      <c r="A174" s="2" t="s">
        <v>1459</v>
      </c>
      <c r="B174" s="6">
        <v>44545</v>
      </c>
      <c r="C174" s="2" t="s">
        <v>1460</v>
      </c>
      <c r="D174" t="s">
        <v>6144</v>
      </c>
      <c r="E174" s="2">
        <v>3</v>
      </c>
      <c r="F174" s="2" t="str">
        <f>_xlfn.XLOOKUP(C174,customers!$A$1:$A$1001,customers!$B$1:$B$1001,,0,1)</f>
        <v>Bartholemy Flaherty</v>
      </c>
      <c r="G174" s="2" t="str">
        <f>IF((_xlfn.XLOOKUP(C174,customers!$A$2:$A$1001,customers!$C$2:$C$1001,,,)=0),"",(_xlfn.XLOOKUP(C174,customers!$A$2:$A$1001,customers!$C$2:$C$1001,,0,)))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2"/>
        <v>21.87</v>
      </c>
      <c r="N174" t="str" cm="1">
        <f t="array" ref="N174">_xlfn.IFS(I174="rob","Robusta",I174="exc","Excesla",I174="ara","Arabica",I174="lib","Liberica")</f>
        <v>Excesla</v>
      </c>
      <c r="O174" t="str" cm="1">
        <f t="array" ref="O174">_xlfn.IFS(J174="m","Medium",J174="l","Light",J174="d","Dark")</f>
        <v>Dark</v>
      </c>
      <c r="P174" t="str">
        <f>_xlfn.XLOOKUP(orders[[#This Row],[Customer ID]],customers!$A$2:$A$1001,customers!$I$2:$I$1001,,0)</f>
        <v>No</v>
      </c>
    </row>
    <row r="175" spans="1:16" x14ac:dyDescent="0.3">
      <c r="A175" s="2" t="s">
        <v>1464</v>
      </c>
      <c r="B175" s="6">
        <v>44720</v>
      </c>
      <c r="C175" s="2" t="s">
        <v>1465</v>
      </c>
      <c r="D175" t="s">
        <v>6151</v>
      </c>
      <c r="E175" s="2">
        <v>4</v>
      </c>
      <c r="F175" s="2" t="str">
        <f>_xlfn.XLOOKUP(C175,customers!$A$1:$A$1001,customers!$B$1:$B$1001,,0,1)</f>
        <v>Oran Colbeck</v>
      </c>
      <c r="G175" s="2" t="str">
        <f>IF((_xlfn.XLOOKUP(C175,customers!$A$2:$A$1001,customers!$C$2:$C$1001,,,)=0),"",(_xlfn.XLOOKUP(C175,customers!$A$2:$A$1001,customers!$C$2:$C$1001,,0,)))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2"/>
        <v>91.539999999999992</v>
      </c>
      <c r="N175" t="str" cm="1">
        <f t="array" ref="N175">_xlfn.IFS(I175="rob","Robusta",I175="exc","Excesla",I175="ara","Arabica",I175="lib","Liberica")</f>
        <v>Robusta</v>
      </c>
      <c r="O175" t="str" cm="1">
        <f t="array" ref="O175">_xlfn.IFS(J175="m","Medium",J175="l","Light",J175="d","Dark")</f>
        <v>Medium</v>
      </c>
      <c r="P175" t="str">
        <f>_xlfn.XLOOKUP(orders[[#This Row],[Customer ID]],customers!$A$2:$A$1001,customers!$I$2:$I$1001,,0)</f>
        <v>No</v>
      </c>
    </row>
    <row r="176" spans="1:16" x14ac:dyDescent="0.3">
      <c r="A176" s="2" t="s">
        <v>1470</v>
      </c>
      <c r="B176" s="6">
        <v>43813</v>
      </c>
      <c r="C176" s="2" t="s">
        <v>1471</v>
      </c>
      <c r="D176" t="s">
        <v>6148</v>
      </c>
      <c r="E176" s="2">
        <v>6</v>
      </c>
      <c r="F176" s="2" t="str">
        <f>_xlfn.XLOOKUP(C176,customers!$A$1:$A$1001,customers!$B$1:$B$1001,,0,1)</f>
        <v>Elysee Sketch</v>
      </c>
      <c r="G176" s="2" t="str">
        <f>IF((_xlfn.XLOOKUP(C176,customers!$A$2:$A$1001,customers!$C$2:$C$1001,,,)=0),"",(_xlfn.XLOOKUP(C176,customers!$A$2:$A$1001,customers!$C$2:$C$1001,,0,)))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2"/>
        <v>204.92999999999995</v>
      </c>
      <c r="N176" t="str" cm="1">
        <f t="array" ref="N176">_xlfn.IFS(I176="rob","Robusta",I176="exc","Excesla",I176="ara","Arabica",I176="lib","Liberica")</f>
        <v>Excesla</v>
      </c>
      <c r="O176" t="str" cm="1">
        <f t="array" ref="O176">_xlfn.IFS(J176="m","Medium",J176="l","Light",J176="d","Dark")</f>
        <v>Light</v>
      </c>
      <c r="P176" t="str">
        <f>_xlfn.XLOOKUP(orders[[#This Row],[Customer ID]],customers!$A$2:$A$1001,customers!$I$2:$I$1001,,0)</f>
        <v>Yes</v>
      </c>
    </row>
    <row r="177" spans="1:16" x14ac:dyDescent="0.3">
      <c r="A177" s="2" t="s">
        <v>1475</v>
      </c>
      <c r="B177" s="6">
        <v>44296</v>
      </c>
      <c r="C177" s="2" t="s">
        <v>1476</v>
      </c>
      <c r="D177" t="s">
        <v>6166</v>
      </c>
      <c r="E177" s="2">
        <v>2</v>
      </c>
      <c r="F177" s="2" t="str">
        <f>_xlfn.XLOOKUP(C177,customers!$A$1:$A$1001,customers!$B$1:$B$1001,,0,1)</f>
        <v>Ethelda Hobbing</v>
      </c>
      <c r="G177" s="2" t="str">
        <f>IF((_xlfn.XLOOKUP(C177,customers!$A$2:$A$1001,customers!$C$2:$C$1001,,,)=0),"",(_xlfn.XLOOKUP(C177,customers!$A$2:$A$1001,customers!$C$2:$C$1001,,0,)))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2"/>
        <v>63.249999999999993</v>
      </c>
      <c r="N177" t="str" cm="1">
        <f t="array" ref="N177">_xlfn.IFS(I177="rob","Robusta",I177="exc","Excesla",I177="ara","Arabica",I177="lib","Liberica")</f>
        <v>Excesla</v>
      </c>
      <c r="O177" t="str" cm="1">
        <f t="array" ref="O177">_xlfn.IFS(J177="m","Medium",J177="l","Light",J177="d","Dark")</f>
        <v>Medium</v>
      </c>
      <c r="P177" t="str">
        <f>_xlfn.XLOOKUP(orders[[#This Row],[Customer ID]],customers!$A$2:$A$1001,customers!$I$2:$I$1001,,0)</f>
        <v>Yes</v>
      </c>
    </row>
    <row r="178" spans="1:16" x14ac:dyDescent="0.3">
      <c r="A178" s="2" t="s">
        <v>1481</v>
      </c>
      <c r="B178" s="6">
        <v>43900</v>
      </c>
      <c r="C178" s="2" t="s">
        <v>1482</v>
      </c>
      <c r="D178" t="s">
        <v>6148</v>
      </c>
      <c r="E178" s="2">
        <v>1</v>
      </c>
      <c r="F178" s="2" t="str">
        <f>_xlfn.XLOOKUP(C178,customers!$A$1:$A$1001,customers!$B$1:$B$1001,,0,1)</f>
        <v>Odille Thynne</v>
      </c>
      <c r="G178" s="2" t="str">
        <f>IF((_xlfn.XLOOKUP(C178,customers!$A$2:$A$1001,customers!$C$2:$C$1001,,,)=0),"",(_xlfn.XLOOKUP(C178,customers!$A$2:$A$1001,customers!$C$2:$C$1001,,0,)))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2"/>
        <v>34.154999999999994</v>
      </c>
      <c r="N178" t="str" cm="1">
        <f t="array" ref="N178">_xlfn.IFS(I178="rob","Robusta",I178="exc","Excesla",I178="ara","Arabica",I178="lib","Liberica")</f>
        <v>Excesla</v>
      </c>
      <c r="O178" t="str" cm="1">
        <f t="array" ref="O178">_xlfn.IFS(J178="m","Medium",J178="l","Light",J178="d","Dark")</f>
        <v>Light</v>
      </c>
      <c r="P178" t="str">
        <f>_xlfn.XLOOKUP(orders[[#This Row],[Customer ID]],customers!$A$2:$A$1001,customers!$I$2:$I$1001,,0)</f>
        <v>Yes</v>
      </c>
    </row>
    <row r="179" spans="1:16" x14ac:dyDescent="0.3">
      <c r="A179" s="2" t="s">
        <v>1487</v>
      </c>
      <c r="B179" s="6">
        <v>44120</v>
      </c>
      <c r="C179" s="2" t="s">
        <v>1488</v>
      </c>
      <c r="D179" t="s">
        <v>6142</v>
      </c>
      <c r="E179" s="2">
        <v>4</v>
      </c>
      <c r="F179" s="2" t="str">
        <f>_xlfn.XLOOKUP(C179,customers!$A$1:$A$1001,customers!$B$1:$B$1001,,0,1)</f>
        <v>Emlynne Heining</v>
      </c>
      <c r="G179" s="2" t="str">
        <f>IF((_xlfn.XLOOKUP(C179,customers!$A$2:$A$1001,customers!$C$2:$C$1001,,,)=0),"",(_xlfn.XLOOKUP(C179,customers!$A$2:$A$1001,customers!$C$2:$C$1001,,0,)))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2"/>
        <v>109.93999999999998</v>
      </c>
      <c r="N179" t="str" cm="1">
        <f t="array" ref="N179">_xlfn.IFS(I179="rob","Robusta",I179="exc","Excesla",I179="ara","Arabica",I179="lib","Liberica")</f>
        <v>Robusta</v>
      </c>
      <c r="O179" t="str" cm="1">
        <f t="array" ref="O179">_xlfn.IFS(J179="m","Medium",J179="l","Light",J179="d","Dark")</f>
        <v>Light</v>
      </c>
      <c r="P179" t="str">
        <f>_xlfn.XLOOKUP(orders[[#This Row],[Customer ID]],customers!$A$2:$A$1001,customers!$I$2:$I$1001,,0)</f>
        <v>Yes</v>
      </c>
    </row>
    <row r="180" spans="1:16" x14ac:dyDescent="0.3">
      <c r="A180" s="2" t="s">
        <v>1492</v>
      </c>
      <c r="B180" s="6">
        <v>43746</v>
      </c>
      <c r="C180" s="2" t="s">
        <v>1493</v>
      </c>
      <c r="D180" t="s">
        <v>6140</v>
      </c>
      <c r="E180" s="2">
        <v>2</v>
      </c>
      <c r="F180" s="2" t="str">
        <f>_xlfn.XLOOKUP(C180,customers!$A$1:$A$1001,customers!$B$1:$B$1001,,0,1)</f>
        <v>Katerina Melloi</v>
      </c>
      <c r="G180" s="2" t="str">
        <f>IF((_xlfn.XLOOKUP(C180,customers!$A$2:$A$1001,customers!$C$2:$C$1001,,,)=0),"",(_xlfn.XLOOKUP(C180,customers!$A$2:$A$1001,customers!$C$2:$C$1001,,0,)))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2"/>
        <v>25.9</v>
      </c>
      <c r="N180" t="str" cm="1">
        <f t="array" ref="N180">_xlfn.IFS(I180="rob","Robusta",I180="exc","Excesla",I180="ara","Arabica",I180="lib","Liberica")</f>
        <v>Arabica</v>
      </c>
      <c r="O180" t="str" cm="1">
        <f t="array" ref="O180">_xlfn.IFS(J180="m","Medium",J180="l","Light",J180="d","Dark")</f>
        <v>Light</v>
      </c>
      <c r="P180" t="str">
        <f>_xlfn.XLOOKUP(orders[[#This Row],[Customer ID]],customers!$A$2:$A$1001,customers!$I$2:$I$1001,,0)</f>
        <v>No</v>
      </c>
    </row>
    <row r="181" spans="1:16" x14ac:dyDescent="0.3">
      <c r="A181" s="2" t="s">
        <v>1498</v>
      </c>
      <c r="B181" s="6">
        <v>43830</v>
      </c>
      <c r="C181" s="2" t="s">
        <v>1499</v>
      </c>
      <c r="D181" t="s">
        <v>6154</v>
      </c>
      <c r="E181" s="2">
        <v>1</v>
      </c>
      <c r="F181" s="2" t="str">
        <f>_xlfn.XLOOKUP(C181,customers!$A$1:$A$1001,customers!$B$1:$B$1001,,0,1)</f>
        <v>Tiffany Scardafield</v>
      </c>
      <c r="G181" s="2" t="str">
        <f>IF((_xlfn.XLOOKUP(C181,customers!$A$2:$A$1001,customers!$C$2:$C$1001,,,)=0),"",(_xlfn.XLOOKUP(C181,customers!$A$2:$A$1001,customers!$C$2:$C$1001,,0,)))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2"/>
        <v>2.9849999999999999</v>
      </c>
      <c r="N181" t="str" cm="1">
        <f t="array" ref="N181">_xlfn.IFS(I181="rob","Robusta",I181="exc","Excesla",I181="ara","Arabica",I181="lib","Liberica")</f>
        <v>Arabica</v>
      </c>
      <c r="O181" t="str" cm="1">
        <f t="array" ref="O181">_xlfn.IFS(J181="m","Medium",J181="l","Light",J181="d","Dark")</f>
        <v>Dark</v>
      </c>
      <c r="P181" t="str">
        <f>_xlfn.XLOOKUP(orders[[#This Row],[Customer ID]],customers!$A$2:$A$1001,customers!$I$2:$I$1001,,0)</f>
        <v>No</v>
      </c>
    </row>
    <row r="182" spans="1:16" x14ac:dyDescent="0.3">
      <c r="A182" s="2" t="s">
        <v>1503</v>
      </c>
      <c r="B182" s="6">
        <v>43910</v>
      </c>
      <c r="C182" s="2" t="s">
        <v>1504</v>
      </c>
      <c r="D182" t="s">
        <v>6184</v>
      </c>
      <c r="E182" s="2">
        <v>5</v>
      </c>
      <c r="F182" s="2" t="str">
        <f>_xlfn.XLOOKUP(C182,customers!$A$1:$A$1001,customers!$B$1:$B$1001,,0,1)</f>
        <v>Abrahan Mussen</v>
      </c>
      <c r="G182" s="2" t="str">
        <f>IF((_xlfn.XLOOKUP(C182,customers!$A$2:$A$1001,customers!$C$2:$C$1001,,,)=0),"",(_xlfn.XLOOKUP(C182,customers!$A$2:$A$1001,customers!$C$2:$C$1001,,0,)))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2"/>
        <v>22.274999999999999</v>
      </c>
      <c r="N182" t="str" cm="1">
        <f t="array" ref="N182">_xlfn.IFS(I182="rob","Robusta",I182="exc","Excesla",I182="ara","Arabica",I182="lib","Liberica")</f>
        <v>Excesla</v>
      </c>
      <c r="O182" t="str" cm="1">
        <f t="array" ref="O182">_xlfn.IFS(J182="m","Medium",J182="l","Light",J182="d","Dark")</f>
        <v>Light</v>
      </c>
      <c r="P182" t="str">
        <f>_xlfn.XLOOKUP(orders[[#This Row],[Customer ID]],customers!$A$2:$A$1001,customers!$I$2:$I$1001,,0)</f>
        <v>No</v>
      </c>
    </row>
    <row r="183" spans="1:16" x14ac:dyDescent="0.3">
      <c r="A183" s="2" t="s">
        <v>1503</v>
      </c>
      <c r="B183" s="6">
        <v>43910</v>
      </c>
      <c r="C183" s="2" t="s">
        <v>1504</v>
      </c>
      <c r="D183" t="s">
        <v>6158</v>
      </c>
      <c r="E183" s="2">
        <v>5</v>
      </c>
      <c r="F183" s="2" t="str">
        <f>_xlfn.XLOOKUP(C183,customers!$A$1:$A$1001,customers!$B$1:$B$1001,,0,1)</f>
        <v>Abrahan Mussen</v>
      </c>
      <c r="G183" s="2" t="str">
        <f>IF((_xlfn.XLOOKUP(C183,customers!$A$2:$A$1001,customers!$C$2:$C$1001,,,)=0),"",(_xlfn.XLOOKUP(C183,customers!$A$2:$A$1001,customers!$C$2:$C$1001,,0,)))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2"/>
        <v>29.849999999999998</v>
      </c>
      <c r="N183" t="str" cm="1">
        <f t="array" ref="N183">_xlfn.IFS(I183="rob","Robusta",I183="exc","Excesla",I183="ara","Arabica",I183="lib","Liberica")</f>
        <v>Arabica</v>
      </c>
      <c r="O183" t="str" cm="1">
        <f t="array" ref="O183">_xlfn.IFS(J183="m","Medium",J183="l","Light",J183="d","Dark")</f>
        <v>Dark</v>
      </c>
      <c r="P183" t="str">
        <f>_xlfn.XLOOKUP(orders[[#This Row],[Customer ID]],customers!$A$2:$A$1001,customers!$I$2:$I$1001,,0)</f>
        <v>No</v>
      </c>
    </row>
    <row r="184" spans="1:16" x14ac:dyDescent="0.3">
      <c r="A184" s="2" t="s">
        <v>1514</v>
      </c>
      <c r="B184" s="6">
        <v>44284</v>
      </c>
      <c r="C184" s="2" t="s">
        <v>1515</v>
      </c>
      <c r="D184" t="s">
        <v>6172</v>
      </c>
      <c r="E184" s="2">
        <v>6</v>
      </c>
      <c r="F184" s="2" t="str">
        <f>_xlfn.XLOOKUP(C184,customers!$A$1:$A$1001,customers!$B$1:$B$1001,,0,1)</f>
        <v>Anny Mundford</v>
      </c>
      <c r="G184" s="2" t="str">
        <f>IF((_xlfn.XLOOKUP(C184,customers!$A$2:$A$1001,customers!$C$2:$C$1001,,,)=0),"",(_xlfn.XLOOKUP(C184,customers!$A$2:$A$1001,customers!$C$2:$C$1001,,0,)))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2"/>
        <v>32.22</v>
      </c>
      <c r="N184" t="str" cm="1">
        <f t="array" ref="N184">_xlfn.IFS(I184="rob","Robusta",I184="exc","Excesla",I184="ara","Arabica",I184="lib","Liberica")</f>
        <v>Robusta</v>
      </c>
      <c r="O184" t="str" cm="1">
        <f t="array" ref="O184">_xlfn.IFS(J184="m","Medium",J184="l","Light",J184="d","Dark")</f>
        <v>Dark</v>
      </c>
      <c r="P184" t="str">
        <f>_xlfn.XLOOKUP(orders[[#This Row],[Customer ID]],customers!$A$2:$A$1001,customers!$I$2:$I$1001,,0)</f>
        <v>No</v>
      </c>
    </row>
    <row r="185" spans="1:16" x14ac:dyDescent="0.3">
      <c r="A185" s="2" t="s">
        <v>1520</v>
      </c>
      <c r="B185" s="6">
        <v>44512</v>
      </c>
      <c r="C185" s="2" t="s">
        <v>1521</v>
      </c>
      <c r="D185" t="s">
        <v>6156</v>
      </c>
      <c r="E185" s="2">
        <v>2</v>
      </c>
      <c r="F185" s="2" t="str">
        <f>_xlfn.XLOOKUP(C185,customers!$A$1:$A$1001,customers!$B$1:$B$1001,,0,1)</f>
        <v>Tory Walas</v>
      </c>
      <c r="G185" s="2" t="str">
        <f>IF((_xlfn.XLOOKUP(C185,customers!$A$2:$A$1001,customers!$C$2:$C$1001,,,)=0),"",(_xlfn.XLOOKUP(C185,customers!$A$2:$A$1001,customers!$C$2:$C$1001,,0,)))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2"/>
        <v>8.25</v>
      </c>
      <c r="N185" t="str" cm="1">
        <f t="array" ref="N185">_xlfn.IFS(I185="rob","Robusta",I185="exc","Excesla",I185="ara","Arabica",I185="lib","Liberica")</f>
        <v>Excesla</v>
      </c>
      <c r="O185" t="str" cm="1">
        <f t="array" ref="O185">_xlfn.IFS(J185="m","Medium",J185="l","Light",J185="d","Dark")</f>
        <v>Medium</v>
      </c>
      <c r="P185" t="str">
        <f>_xlfn.XLOOKUP(orders[[#This Row],[Customer ID]],customers!$A$2:$A$1001,customers!$I$2:$I$1001,,0)</f>
        <v>No</v>
      </c>
    </row>
    <row r="186" spans="1:16" x14ac:dyDescent="0.3">
      <c r="A186" s="2" t="s">
        <v>1526</v>
      </c>
      <c r="B186" s="6">
        <v>44397</v>
      </c>
      <c r="C186" s="2" t="s">
        <v>1527</v>
      </c>
      <c r="D186" t="s">
        <v>6180</v>
      </c>
      <c r="E186" s="2">
        <v>4</v>
      </c>
      <c r="F186" s="2" t="str">
        <f>_xlfn.XLOOKUP(C186,customers!$A$1:$A$1001,customers!$B$1:$B$1001,,0,1)</f>
        <v>Isa Blazewicz</v>
      </c>
      <c r="G186" s="2" t="str">
        <f>IF((_xlfn.XLOOKUP(C186,customers!$A$2:$A$1001,customers!$C$2:$C$1001,,,)=0),"",(_xlfn.XLOOKUP(C186,customers!$A$2:$A$1001,customers!$C$2:$C$1001,,0,)))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2"/>
        <v>31.08</v>
      </c>
      <c r="N186" t="str" cm="1">
        <f t="array" ref="N186">_xlfn.IFS(I186="rob","Robusta",I186="exc","Excesla",I186="ara","Arabica",I186="lib","Liberica")</f>
        <v>Arabica</v>
      </c>
      <c r="O186" t="str" cm="1">
        <f t="array" ref="O186">_xlfn.IFS(J186="m","Medium",J186="l","Light",J186="d","Dark")</f>
        <v>Light</v>
      </c>
      <c r="P186" t="str">
        <f>_xlfn.XLOOKUP(orders[[#This Row],[Customer ID]],customers!$A$2:$A$1001,customers!$I$2:$I$1001,,0)</f>
        <v>No</v>
      </c>
    </row>
    <row r="187" spans="1:16" x14ac:dyDescent="0.3">
      <c r="A187" s="2" t="s">
        <v>1532</v>
      </c>
      <c r="B187" s="6">
        <v>43483</v>
      </c>
      <c r="C187" s="2" t="s">
        <v>1533</v>
      </c>
      <c r="D187" t="s">
        <v>6144</v>
      </c>
      <c r="E187" s="2">
        <v>5</v>
      </c>
      <c r="F187" s="2" t="str">
        <f>_xlfn.XLOOKUP(C187,customers!$A$1:$A$1001,customers!$B$1:$B$1001,,0,1)</f>
        <v>Angie Rizzetti</v>
      </c>
      <c r="G187" s="2" t="str">
        <f>IF((_xlfn.XLOOKUP(C187,customers!$A$2:$A$1001,customers!$C$2:$C$1001,,,)=0),"",(_xlfn.XLOOKUP(C187,customers!$A$2:$A$1001,customers!$C$2:$C$1001,,0,)))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2"/>
        <v>36.450000000000003</v>
      </c>
      <c r="N187" t="str" cm="1">
        <f t="array" ref="N187">_xlfn.IFS(I187="rob","Robusta",I187="exc","Excesla",I187="ara","Arabica",I187="lib","Liberica")</f>
        <v>Excesla</v>
      </c>
      <c r="O187" t="str" cm="1">
        <f t="array" ref="O187">_xlfn.IFS(J187="m","Medium",J187="l","Light",J187="d","Dark")</f>
        <v>Dark</v>
      </c>
      <c r="P187" t="str">
        <f>_xlfn.XLOOKUP(orders[[#This Row],[Customer ID]],customers!$A$2:$A$1001,customers!$I$2:$I$1001,,0)</f>
        <v>Yes</v>
      </c>
    </row>
    <row r="188" spans="1:16" x14ac:dyDescent="0.3">
      <c r="A188" s="2" t="s">
        <v>1538</v>
      </c>
      <c r="B188" s="6">
        <v>43684</v>
      </c>
      <c r="C188" s="2" t="s">
        <v>1539</v>
      </c>
      <c r="D188" t="s">
        <v>6151</v>
      </c>
      <c r="E188" s="2">
        <v>3</v>
      </c>
      <c r="F188" s="2" t="str">
        <f>_xlfn.XLOOKUP(C188,customers!$A$1:$A$1001,customers!$B$1:$B$1001,,0,1)</f>
        <v>Mord Meriet</v>
      </c>
      <c r="G188" s="2" t="str">
        <f>IF((_xlfn.XLOOKUP(C188,customers!$A$2:$A$1001,customers!$C$2:$C$1001,,,)=0),"",(_xlfn.XLOOKUP(C188,customers!$A$2:$A$1001,customers!$C$2:$C$1001,,0,)))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2"/>
        <v>68.655000000000001</v>
      </c>
      <c r="N188" t="str" cm="1">
        <f t="array" ref="N188">_xlfn.IFS(I188="rob","Robusta",I188="exc","Excesla",I188="ara","Arabica",I188="lib","Liberica")</f>
        <v>Robusta</v>
      </c>
      <c r="O188" t="str" cm="1">
        <f t="array" ref="O188">_xlfn.IFS(J188="m","Medium",J188="l","Light",J188="d","Dark")</f>
        <v>Medium</v>
      </c>
      <c r="P188" t="str">
        <f>_xlfn.XLOOKUP(orders[[#This Row],[Customer ID]],customers!$A$2:$A$1001,customers!$I$2:$I$1001,,0)</f>
        <v>No</v>
      </c>
    </row>
    <row r="189" spans="1:16" x14ac:dyDescent="0.3">
      <c r="A189" s="2" t="s">
        <v>1544</v>
      </c>
      <c r="B189" s="6">
        <v>44633</v>
      </c>
      <c r="C189" s="2" t="s">
        <v>1545</v>
      </c>
      <c r="D189" t="s">
        <v>6160</v>
      </c>
      <c r="E189" s="2">
        <v>5</v>
      </c>
      <c r="F189" s="2" t="str">
        <f>_xlfn.XLOOKUP(C189,customers!$A$1:$A$1001,customers!$B$1:$B$1001,,0,1)</f>
        <v>Lawrence Pratt</v>
      </c>
      <c r="G189" s="2" t="str">
        <f>IF((_xlfn.XLOOKUP(C189,customers!$A$2:$A$1001,customers!$C$2:$C$1001,,,)=0),"",(_xlfn.XLOOKUP(C189,customers!$A$2:$A$1001,customers!$C$2:$C$1001,,0,)))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2"/>
        <v>43.650000000000006</v>
      </c>
      <c r="N189" t="str" cm="1">
        <f t="array" ref="N189">_xlfn.IFS(I189="rob","Robusta",I189="exc","Excesla",I189="ara","Arabica",I189="lib","Liberica")</f>
        <v>Liberica</v>
      </c>
      <c r="O189" t="str" cm="1">
        <f t="array" ref="O189">_xlfn.IFS(J189="m","Medium",J189="l","Light",J189="d","Dark")</f>
        <v>Medium</v>
      </c>
      <c r="P189" t="str">
        <f>_xlfn.XLOOKUP(orders[[#This Row],[Customer ID]],customers!$A$2:$A$1001,customers!$I$2:$I$1001,,0)</f>
        <v>Yes</v>
      </c>
    </row>
    <row r="190" spans="1:16" x14ac:dyDescent="0.3">
      <c r="A190" s="2" t="s">
        <v>1549</v>
      </c>
      <c r="B190" s="6">
        <v>44698</v>
      </c>
      <c r="C190" s="2" t="s">
        <v>1550</v>
      </c>
      <c r="D190" t="s">
        <v>6184</v>
      </c>
      <c r="E190" s="2">
        <v>1</v>
      </c>
      <c r="F190" s="2" t="str">
        <f>_xlfn.XLOOKUP(C190,customers!$A$1:$A$1001,customers!$B$1:$B$1001,,0,1)</f>
        <v>Astrix Kitchingham</v>
      </c>
      <c r="G190" s="2" t="str">
        <f>IF((_xlfn.XLOOKUP(C190,customers!$A$2:$A$1001,customers!$C$2:$C$1001,,,)=0),"",(_xlfn.XLOOKUP(C190,customers!$A$2:$A$1001,customers!$C$2:$C$1001,,0,)))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2"/>
        <v>4.4550000000000001</v>
      </c>
      <c r="N190" t="str" cm="1">
        <f t="array" ref="N190">_xlfn.IFS(I190="rob","Robusta",I190="exc","Excesla",I190="ara","Arabica",I190="lib","Liberica")</f>
        <v>Excesla</v>
      </c>
      <c r="O190" t="str" cm="1">
        <f t="array" ref="O190">_xlfn.IFS(J190="m","Medium",J190="l","Light",J190="d","Dark")</f>
        <v>Light</v>
      </c>
      <c r="P190" t="str">
        <f>_xlfn.XLOOKUP(orders[[#This Row],[Customer ID]],customers!$A$2:$A$1001,customers!$I$2:$I$1001,,0)</f>
        <v>Yes</v>
      </c>
    </row>
    <row r="191" spans="1:16" x14ac:dyDescent="0.3">
      <c r="A191" s="2" t="s">
        <v>1555</v>
      </c>
      <c r="B191" s="6">
        <v>43813</v>
      </c>
      <c r="C191" s="2" t="s">
        <v>1556</v>
      </c>
      <c r="D191" t="s">
        <v>6162</v>
      </c>
      <c r="E191" s="2">
        <v>3</v>
      </c>
      <c r="F191" s="2" t="str">
        <f>_xlfn.XLOOKUP(C191,customers!$A$1:$A$1001,customers!$B$1:$B$1001,,0,1)</f>
        <v>Burnard Bartholin</v>
      </c>
      <c r="G191" s="2" t="str">
        <f>IF((_xlfn.XLOOKUP(C191,customers!$A$2:$A$1001,customers!$C$2:$C$1001,,,)=0),"",(_xlfn.XLOOKUP(C191,customers!$A$2:$A$1001,customers!$C$2:$C$1001,,0,)))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2"/>
        <v>43.650000000000006</v>
      </c>
      <c r="N191" t="str" cm="1">
        <f t="array" ref="N191">_xlfn.IFS(I191="rob","Robusta",I191="exc","Excesla",I191="ara","Arabica",I191="lib","Liberica")</f>
        <v>Liberica</v>
      </c>
      <c r="O191" t="str" cm="1">
        <f t="array" ref="O191">_xlfn.IFS(J191="m","Medium",J191="l","Light",J191="d","Dark")</f>
        <v>Medium</v>
      </c>
      <c r="P191" t="str">
        <f>_xlfn.XLOOKUP(orders[[#This Row],[Customer ID]],customers!$A$2:$A$1001,customers!$I$2:$I$1001,,0)</f>
        <v>Yes</v>
      </c>
    </row>
    <row r="192" spans="1:16" x14ac:dyDescent="0.3">
      <c r="A192" s="2" t="s">
        <v>1561</v>
      </c>
      <c r="B192" s="6">
        <v>43845</v>
      </c>
      <c r="C192" s="2" t="s">
        <v>1562</v>
      </c>
      <c r="D192" t="s">
        <v>6181</v>
      </c>
      <c r="E192" s="2">
        <v>1</v>
      </c>
      <c r="F192" s="2" t="str">
        <f>_xlfn.XLOOKUP(C192,customers!$A$1:$A$1001,customers!$B$1:$B$1001,,0,1)</f>
        <v>Madelene Prinn</v>
      </c>
      <c r="G192" s="2" t="str">
        <f>IF((_xlfn.XLOOKUP(C192,customers!$A$2:$A$1001,customers!$C$2:$C$1001,,,)=0),"",(_xlfn.XLOOKUP(C192,customers!$A$2:$A$1001,customers!$C$2:$C$1001,,0,)))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2"/>
        <v>33.464999999999996</v>
      </c>
      <c r="N192" t="str" cm="1">
        <f t="array" ref="N192">_xlfn.IFS(I192="rob","Robusta",I192="exc","Excesla",I192="ara","Arabica",I192="lib","Liberica")</f>
        <v>Liberica</v>
      </c>
      <c r="O192" t="str" cm="1">
        <f t="array" ref="O192">_xlfn.IFS(J192="m","Medium",J192="l","Light",J192="d","Dark")</f>
        <v>Medium</v>
      </c>
      <c r="P192" t="str">
        <f>_xlfn.XLOOKUP(orders[[#This Row],[Customer ID]],customers!$A$2:$A$1001,customers!$I$2:$I$1001,,0)</f>
        <v>Yes</v>
      </c>
    </row>
    <row r="193" spans="1:16" x14ac:dyDescent="0.3">
      <c r="A193" s="2" t="s">
        <v>1567</v>
      </c>
      <c r="B193" s="6">
        <v>43567</v>
      </c>
      <c r="C193" s="2" t="s">
        <v>1568</v>
      </c>
      <c r="D193" t="s">
        <v>6150</v>
      </c>
      <c r="E193" s="2">
        <v>5</v>
      </c>
      <c r="F193" s="2" t="str">
        <f>_xlfn.XLOOKUP(C193,customers!$A$1:$A$1001,customers!$B$1:$B$1001,,0,1)</f>
        <v>Alisun Baudino</v>
      </c>
      <c r="G193" s="2" t="str">
        <f>IF((_xlfn.XLOOKUP(C193,customers!$A$2:$A$1001,customers!$C$2:$C$1001,,,)=0),"",(_xlfn.XLOOKUP(C193,customers!$A$2:$A$1001,customers!$C$2:$C$1001,,0,)))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2"/>
        <v>19.424999999999997</v>
      </c>
      <c r="N193" t="str" cm="1">
        <f t="array" ref="N193">_xlfn.IFS(I193="rob","Robusta",I193="exc","Excesla",I193="ara","Arabica",I193="lib","Liberica")</f>
        <v>Liberica</v>
      </c>
      <c r="O193" t="str" cm="1">
        <f t="array" ref="O193">_xlfn.IFS(J193="m","Medium",J193="l","Light",J193="d","Dark")</f>
        <v>Dark</v>
      </c>
      <c r="P193" t="str">
        <f>_xlfn.XLOOKUP(orders[[#This Row],[Customer ID]],customers!$A$2:$A$1001,customers!$I$2:$I$1001,,0)</f>
        <v>Yes</v>
      </c>
    </row>
    <row r="194" spans="1:16" x14ac:dyDescent="0.3">
      <c r="A194" s="2" t="s">
        <v>1573</v>
      </c>
      <c r="B194" s="6">
        <v>43919</v>
      </c>
      <c r="C194" s="2" t="s">
        <v>1574</v>
      </c>
      <c r="D194" t="s">
        <v>6183</v>
      </c>
      <c r="E194" s="2">
        <v>6</v>
      </c>
      <c r="F194" s="2" t="str">
        <f>_xlfn.XLOOKUP(C194,customers!$A$1:$A$1001,customers!$B$1:$B$1001,,0,1)</f>
        <v>Philipa Petrushanko</v>
      </c>
      <c r="G194" s="2" t="str">
        <f>IF((_xlfn.XLOOKUP(C194,customers!$A$2:$A$1001,customers!$C$2:$C$1001,,,)=0),"",(_xlfn.XLOOKUP(C194,customers!$A$2:$A$1001,customers!$C$2:$C$1001,,0,)))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2"/>
        <v>72.900000000000006</v>
      </c>
      <c r="N194" t="str" cm="1">
        <f t="array" ref="N194">_xlfn.IFS(I194="rob","Robusta",I194="exc","Excesla",I194="ara","Arabica",I194="lib","Liberica")</f>
        <v>Excesla</v>
      </c>
      <c r="O194" t="str" cm="1">
        <f t="array" ref="O194">_xlfn.IFS(J194="m","Medium",J194="l","Light",J194="d","Dark")</f>
        <v>Dark</v>
      </c>
      <c r="P194" t="str">
        <f>_xlfn.XLOOKUP(orders[[#This Row],[Customer ID]],customers!$A$2:$A$1001,customers!$I$2:$I$1001,,0)</f>
        <v>Yes</v>
      </c>
    </row>
    <row r="195" spans="1:16" x14ac:dyDescent="0.3">
      <c r="A195" s="2" t="s">
        <v>1579</v>
      </c>
      <c r="B195" s="6">
        <v>44644</v>
      </c>
      <c r="C195" s="2" t="s">
        <v>1580</v>
      </c>
      <c r="D195" t="s">
        <v>6171</v>
      </c>
      <c r="E195" s="2">
        <v>3</v>
      </c>
      <c r="F195" s="2" t="str">
        <f>_xlfn.XLOOKUP(C195,customers!$A$1:$A$1001,customers!$B$1:$B$1001,,0,1)</f>
        <v>Kimberli Mustchin</v>
      </c>
      <c r="G195" s="2" t="str">
        <f>IF((_xlfn.XLOOKUP(C195,customers!$A$2:$A$1001,customers!$C$2:$C$1001,,,)=0),"",(_xlfn.XLOOKUP(C195,customers!$A$2:$A$1001,customers!$C$2:$C$1001,,0,)))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3">L195*E195</f>
        <v>44.55</v>
      </c>
      <c r="N195" t="str" cm="1">
        <f t="array" ref="N195">_xlfn.IFS(I195="rob","Robusta",I195="exc","Excesla",I195="ara","Arabica",I195="lib","Liberica")</f>
        <v>Excesla</v>
      </c>
      <c r="O195" t="str" cm="1">
        <f t="array" ref="O195">_xlfn.IFS(J195="m","Medium",J195="l","Light",J195="d","Dark")</f>
        <v>Light</v>
      </c>
      <c r="P195" t="str">
        <f>_xlfn.XLOOKUP(orders[[#This Row],[Customer ID]],customers!$A$2:$A$1001,customers!$I$2:$I$1001,,0)</f>
        <v>No</v>
      </c>
    </row>
    <row r="196" spans="1:16" x14ac:dyDescent="0.3">
      <c r="A196" s="2" t="s">
        <v>1584</v>
      </c>
      <c r="B196" s="6">
        <v>44398</v>
      </c>
      <c r="C196" s="2" t="s">
        <v>1585</v>
      </c>
      <c r="D196" t="s">
        <v>6144</v>
      </c>
      <c r="E196" s="2">
        <v>5</v>
      </c>
      <c r="F196" s="2" t="str">
        <f>_xlfn.XLOOKUP(C196,customers!$A$1:$A$1001,customers!$B$1:$B$1001,,0,1)</f>
        <v>Emlynne Laird</v>
      </c>
      <c r="G196" s="2" t="str">
        <f>IF((_xlfn.XLOOKUP(C196,customers!$A$2:$A$1001,customers!$C$2:$C$1001,,,)=0),"",(_xlfn.XLOOKUP(C196,customers!$A$2:$A$1001,customers!$C$2:$C$1001,,0,)))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3"/>
        <v>36.450000000000003</v>
      </c>
      <c r="N196" t="str" cm="1">
        <f t="array" ref="N196">_xlfn.IFS(I196="rob","Robusta",I196="exc","Excesla",I196="ara","Arabica",I196="lib","Liberica")</f>
        <v>Excesla</v>
      </c>
      <c r="O196" t="str" cm="1">
        <f t="array" ref="O196">_xlfn.IFS(J196="m","Medium",J196="l","Light",J196="d","Dark")</f>
        <v>Dark</v>
      </c>
      <c r="P196" t="str">
        <f>_xlfn.XLOOKUP(orders[[#This Row],[Customer ID]],customers!$A$2:$A$1001,customers!$I$2:$I$1001,,0)</f>
        <v>No</v>
      </c>
    </row>
    <row r="197" spans="1:16" x14ac:dyDescent="0.3">
      <c r="A197" s="2" t="s">
        <v>1590</v>
      </c>
      <c r="B197" s="6">
        <v>43683</v>
      </c>
      <c r="C197" s="2" t="s">
        <v>1591</v>
      </c>
      <c r="D197" t="s">
        <v>6140</v>
      </c>
      <c r="E197" s="2">
        <v>3</v>
      </c>
      <c r="F197" s="2" t="str">
        <f>_xlfn.XLOOKUP(C197,customers!$A$1:$A$1001,customers!$B$1:$B$1001,,0,1)</f>
        <v>Marlena Howsden</v>
      </c>
      <c r="G197" s="2" t="str">
        <f>IF((_xlfn.XLOOKUP(C197,customers!$A$2:$A$1001,customers!$C$2:$C$1001,,,)=0),"",(_xlfn.XLOOKUP(C197,customers!$A$2:$A$1001,customers!$C$2:$C$1001,,0,)))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3"/>
        <v>38.849999999999994</v>
      </c>
      <c r="N197" t="str" cm="1">
        <f t="array" ref="N197">_xlfn.IFS(I197="rob","Robusta",I197="exc","Excesla",I197="ara","Arabica",I197="lib","Liberica")</f>
        <v>Arabica</v>
      </c>
      <c r="O197" t="str" cm="1">
        <f t="array" ref="O197">_xlfn.IFS(J197="m","Medium",J197="l","Light",J197="d","Dark")</f>
        <v>Light</v>
      </c>
      <c r="P197" t="str">
        <f>_xlfn.XLOOKUP(orders[[#This Row],[Customer ID]],customers!$A$2:$A$1001,customers!$I$2:$I$1001,,0)</f>
        <v>No</v>
      </c>
    </row>
    <row r="198" spans="1:16" x14ac:dyDescent="0.3">
      <c r="A198" s="2" t="s">
        <v>1596</v>
      </c>
      <c r="B198" s="6">
        <v>44339</v>
      </c>
      <c r="C198" s="2" t="s">
        <v>1597</v>
      </c>
      <c r="D198" t="s">
        <v>6176</v>
      </c>
      <c r="E198" s="2">
        <v>6</v>
      </c>
      <c r="F198" s="2" t="str">
        <f>_xlfn.XLOOKUP(C198,customers!$A$1:$A$1001,customers!$B$1:$B$1001,,0,1)</f>
        <v>Nealson Cuttler</v>
      </c>
      <c r="G198" s="2" t="str">
        <f>IF((_xlfn.XLOOKUP(C198,customers!$A$2:$A$1001,customers!$C$2:$C$1001,,,)=0),"",(_xlfn.XLOOKUP(C198,customers!$A$2:$A$1001,customers!$C$2:$C$1001,,0,)))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3"/>
        <v>53.46</v>
      </c>
      <c r="N198" t="str" cm="1">
        <f t="array" ref="N198">_xlfn.IFS(I198="rob","Robusta",I198="exc","Excesla",I198="ara","Arabica",I198="lib","Liberica")</f>
        <v>Excesla</v>
      </c>
      <c r="O198" t="str" cm="1">
        <f t="array" ref="O198">_xlfn.IFS(J198="m","Medium",J198="l","Light",J198="d","Dark")</f>
        <v>Light</v>
      </c>
      <c r="P198" t="str">
        <f>_xlfn.XLOOKUP(orders[[#This Row],[Customer ID]],customers!$A$2:$A$1001,customers!$I$2:$I$1001,,0)</f>
        <v>No</v>
      </c>
    </row>
    <row r="199" spans="1:16" x14ac:dyDescent="0.3">
      <c r="A199" s="2" t="s">
        <v>1596</v>
      </c>
      <c r="B199" s="6">
        <v>44339</v>
      </c>
      <c r="C199" s="2" t="s">
        <v>1597</v>
      </c>
      <c r="D199" t="s">
        <v>6165</v>
      </c>
      <c r="E199" s="2">
        <v>2</v>
      </c>
      <c r="F199" s="2" t="str">
        <f>_xlfn.XLOOKUP(C199,customers!$A$1:$A$1001,customers!$B$1:$B$1001,,0,1)</f>
        <v>Nealson Cuttler</v>
      </c>
      <c r="G199" s="2" t="str">
        <f>IF((_xlfn.XLOOKUP(C199,customers!$A$2:$A$1001,customers!$C$2:$C$1001,,,)=0),"",(_xlfn.XLOOKUP(C199,customers!$A$2:$A$1001,customers!$C$2:$C$1001,,0,)))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3"/>
        <v>59.569999999999993</v>
      </c>
      <c r="N199" t="str" cm="1">
        <f t="array" ref="N199">_xlfn.IFS(I199="rob","Robusta",I199="exc","Excesla",I199="ara","Arabica",I199="lib","Liberica")</f>
        <v>Liberica</v>
      </c>
      <c r="O199" t="str" cm="1">
        <f t="array" ref="O199">_xlfn.IFS(J199="m","Medium",J199="l","Light",J199="d","Dark")</f>
        <v>Dark</v>
      </c>
      <c r="P199" t="str">
        <f>_xlfn.XLOOKUP(orders[[#This Row],[Customer ID]],customers!$A$2:$A$1001,customers!$I$2:$I$1001,,0)</f>
        <v>No</v>
      </c>
    </row>
    <row r="200" spans="1:16" x14ac:dyDescent="0.3">
      <c r="A200" s="2" t="s">
        <v>1596</v>
      </c>
      <c r="B200" s="6">
        <v>44339</v>
      </c>
      <c r="C200" s="2" t="s">
        <v>1597</v>
      </c>
      <c r="D200" t="s">
        <v>6165</v>
      </c>
      <c r="E200" s="2">
        <v>3</v>
      </c>
      <c r="F200" s="2" t="str">
        <f>_xlfn.XLOOKUP(C200,customers!$A$1:$A$1001,customers!$B$1:$B$1001,,0,1)</f>
        <v>Nealson Cuttler</v>
      </c>
      <c r="G200" s="2" t="str">
        <f>IF((_xlfn.XLOOKUP(C200,customers!$A$2:$A$1001,customers!$C$2:$C$1001,,,)=0),"",(_xlfn.XLOOKUP(C200,customers!$A$2:$A$1001,customers!$C$2:$C$1001,,0,)))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3"/>
        <v>89.35499999999999</v>
      </c>
      <c r="N200" t="str" cm="1">
        <f t="array" ref="N200">_xlfn.IFS(I200="rob","Robusta",I200="exc","Excesla",I200="ara","Arabica",I200="lib","Liberica")</f>
        <v>Liberica</v>
      </c>
      <c r="O200" t="str" cm="1">
        <f t="array" ref="O200">_xlfn.IFS(J200="m","Medium",J200="l","Light",J200="d","Dark")</f>
        <v>Dark</v>
      </c>
      <c r="P200" t="str">
        <f>_xlfn.XLOOKUP(orders[[#This Row],[Customer ID]],customers!$A$2:$A$1001,customers!$I$2:$I$1001,,0)</f>
        <v>No</v>
      </c>
    </row>
    <row r="201" spans="1:16" x14ac:dyDescent="0.3">
      <c r="A201" s="2" t="s">
        <v>1596</v>
      </c>
      <c r="B201" s="6">
        <v>44339</v>
      </c>
      <c r="C201" s="2" t="s">
        <v>1597</v>
      </c>
      <c r="D201" t="s">
        <v>6161</v>
      </c>
      <c r="E201" s="2">
        <v>4</v>
      </c>
      <c r="F201" s="2" t="str">
        <f>_xlfn.XLOOKUP(C201,customers!$A$1:$A$1001,customers!$B$1:$B$1001,,0,1)</f>
        <v>Nealson Cuttler</v>
      </c>
      <c r="G201" s="2" t="str">
        <f>IF((_xlfn.XLOOKUP(C201,customers!$A$2:$A$1001,customers!$C$2:$C$1001,,,)=0),"",(_xlfn.XLOOKUP(C201,customers!$A$2:$A$1001,customers!$C$2:$C$1001,,0,)))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3"/>
        <v>38.04</v>
      </c>
      <c r="N201" t="str" cm="1">
        <f t="array" ref="N201">_xlfn.IFS(I201="rob","Robusta",I201="exc","Excesla",I201="ara","Arabica",I201="lib","Liberica")</f>
        <v>Liberica</v>
      </c>
      <c r="O201" t="str" cm="1">
        <f t="array" ref="O201">_xlfn.IFS(J201="m","Medium",J201="l","Light",J201="d","Dark")</f>
        <v>Light</v>
      </c>
      <c r="P201" t="str">
        <f>_xlfn.XLOOKUP(orders[[#This Row],[Customer ID]],customers!$A$2:$A$1001,customers!$I$2:$I$1001,,0)</f>
        <v>No</v>
      </c>
    </row>
    <row r="202" spans="1:16" x14ac:dyDescent="0.3">
      <c r="A202" s="2" t="s">
        <v>1596</v>
      </c>
      <c r="B202" s="6">
        <v>44339</v>
      </c>
      <c r="C202" s="2" t="s">
        <v>1597</v>
      </c>
      <c r="D202" t="s">
        <v>6141</v>
      </c>
      <c r="E202" s="2">
        <v>3</v>
      </c>
      <c r="F202" s="2" t="str">
        <f>_xlfn.XLOOKUP(C202,customers!$A$1:$A$1001,customers!$B$1:$B$1001,,0,1)</f>
        <v>Nealson Cuttler</v>
      </c>
      <c r="G202" s="2" t="str">
        <f>IF((_xlfn.XLOOKUP(C202,customers!$A$2:$A$1001,customers!$C$2:$C$1001,,,)=0),"",(_xlfn.XLOOKUP(C202,customers!$A$2:$A$1001,customers!$C$2:$C$1001,,0,)))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3"/>
        <v>41.25</v>
      </c>
      <c r="N202" t="str" cm="1">
        <f t="array" ref="N202">_xlfn.IFS(I202="rob","Robusta",I202="exc","Excesla",I202="ara","Arabica",I202="lib","Liberica")</f>
        <v>Excesla</v>
      </c>
      <c r="O202" t="str" cm="1">
        <f t="array" ref="O202">_xlfn.IFS(J202="m","Medium",J202="l","Light",J202="d","Dark")</f>
        <v>Medium</v>
      </c>
      <c r="P202" t="str">
        <f>_xlfn.XLOOKUP(orders[[#This Row],[Customer ID]],customers!$A$2:$A$1001,customers!$I$2:$I$1001,,0)</f>
        <v>No</v>
      </c>
    </row>
    <row r="203" spans="1:16" x14ac:dyDescent="0.3">
      <c r="A203" s="2" t="s">
        <v>1621</v>
      </c>
      <c r="B203" s="6">
        <v>44294</v>
      </c>
      <c r="C203" s="2" t="s">
        <v>1622</v>
      </c>
      <c r="D203" t="s">
        <v>6161</v>
      </c>
      <c r="E203" s="2">
        <v>6</v>
      </c>
      <c r="F203" s="2" t="str">
        <f>_xlfn.XLOOKUP(C203,customers!$A$1:$A$1001,customers!$B$1:$B$1001,,0,1)</f>
        <v>Adriana Lazarus</v>
      </c>
      <c r="G203" s="2" t="str">
        <f>IF((_xlfn.XLOOKUP(C203,customers!$A$2:$A$1001,customers!$C$2:$C$1001,,,)=0),"",(_xlfn.XLOOKUP(C203,customers!$A$2:$A$1001,customers!$C$2:$C$1001,,0,)))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3"/>
        <v>57.06</v>
      </c>
      <c r="N203" t="str" cm="1">
        <f t="array" ref="N203">_xlfn.IFS(I203="rob","Robusta",I203="exc","Excesla",I203="ara","Arabica",I203="lib","Liberica")</f>
        <v>Liberica</v>
      </c>
      <c r="O203" t="str" cm="1">
        <f t="array" ref="O203">_xlfn.IFS(J203="m","Medium",J203="l","Light",J203="d","Dark")</f>
        <v>Light</v>
      </c>
      <c r="P203" t="str">
        <f>_xlfn.XLOOKUP(orders[[#This Row],[Customer ID]],customers!$A$2:$A$1001,customers!$I$2:$I$1001,,0)</f>
        <v>No</v>
      </c>
    </row>
    <row r="204" spans="1:16" x14ac:dyDescent="0.3">
      <c r="A204" s="2" t="s">
        <v>1626</v>
      </c>
      <c r="B204" s="6">
        <v>44486</v>
      </c>
      <c r="C204" s="2" t="s">
        <v>1627</v>
      </c>
      <c r="D204" t="s">
        <v>6165</v>
      </c>
      <c r="E204" s="2">
        <v>6</v>
      </c>
      <c r="F204" s="2" t="str">
        <f>_xlfn.XLOOKUP(C204,customers!$A$1:$A$1001,customers!$B$1:$B$1001,,0,1)</f>
        <v>Tallie felip</v>
      </c>
      <c r="G204" s="2" t="str">
        <f>IF((_xlfn.XLOOKUP(C204,customers!$A$2:$A$1001,customers!$C$2:$C$1001,,,)=0),"",(_xlfn.XLOOKUP(C204,customers!$A$2:$A$1001,customers!$C$2:$C$1001,,0,)))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3"/>
        <v>178.70999999999998</v>
      </c>
      <c r="N204" t="str" cm="1">
        <f t="array" ref="N204">_xlfn.IFS(I204="rob","Robusta",I204="exc","Excesla",I204="ara","Arabica",I204="lib","Liberica")</f>
        <v>Liberica</v>
      </c>
      <c r="O204" t="str" cm="1">
        <f t="array" ref="O204">_xlfn.IFS(J204="m","Medium",J204="l","Light",J204="d","Dark")</f>
        <v>Dark</v>
      </c>
      <c r="P204" t="str">
        <f>_xlfn.XLOOKUP(orders[[#This Row],[Customer ID]],customers!$A$2:$A$1001,customers!$I$2:$I$1001,,0)</f>
        <v>Yes</v>
      </c>
    </row>
    <row r="205" spans="1:16" x14ac:dyDescent="0.3">
      <c r="A205" s="2" t="s">
        <v>1632</v>
      </c>
      <c r="B205" s="6">
        <v>44608</v>
      </c>
      <c r="C205" s="2" t="s">
        <v>1633</v>
      </c>
      <c r="D205" t="s">
        <v>6145</v>
      </c>
      <c r="E205" s="2">
        <v>1</v>
      </c>
      <c r="F205" s="2" t="str">
        <f>_xlfn.XLOOKUP(C205,customers!$A$1:$A$1001,customers!$B$1:$B$1001,,0,1)</f>
        <v>Vanna Le - Count</v>
      </c>
      <c r="G205" s="2" t="str">
        <f>IF((_xlfn.XLOOKUP(C205,customers!$A$2:$A$1001,customers!$C$2:$C$1001,,,)=0),"",(_xlfn.XLOOKUP(C205,customers!$A$2:$A$1001,customers!$C$2:$C$1001,,0,)))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3"/>
        <v>4.7549999999999999</v>
      </c>
      <c r="N205" t="str" cm="1">
        <f t="array" ref="N205">_xlfn.IFS(I205="rob","Robusta",I205="exc","Excesla",I205="ara","Arabica",I205="lib","Liberica")</f>
        <v>Liberica</v>
      </c>
      <c r="O205" t="str" cm="1">
        <f t="array" ref="O205">_xlfn.IFS(J205="m","Medium",J205="l","Light",J205="d","Dark")</f>
        <v>Light</v>
      </c>
      <c r="P205" t="str">
        <f>_xlfn.XLOOKUP(orders[[#This Row],[Customer ID]],customers!$A$2:$A$1001,customers!$I$2:$I$1001,,0)</f>
        <v>No</v>
      </c>
    </row>
    <row r="206" spans="1:16" x14ac:dyDescent="0.3">
      <c r="A206" s="2" t="s">
        <v>1638</v>
      </c>
      <c r="B206" s="6">
        <v>44027</v>
      </c>
      <c r="C206" s="2" t="s">
        <v>1639</v>
      </c>
      <c r="D206" t="s">
        <v>6141</v>
      </c>
      <c r="E206" s="2">
        <v>6</v>
      </c>
      <c r="F206" s="2" t="str">
        <f>_xlfn.XLOOKUP(C206,customers!$A$1:$A$1001,customers!$B$1:$B$1001,,0,1)</f>
        <v>Sarette Ducarel</v>
      </c>
      <c r="G206" s="2" t="str">
        <f>IF((_xlfn.XLOOKUP(C206,customers!$A$2:$A$1001,customers!$C$2:$C$1001,,,)=0),"",(_xlfn.XLOOKUP(C206,customers!$A$2:$A$1001,customers!$C$2:$C$1001,,0,)))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3"/>
        <v>82.5</v>
      </c>
      <c r="N206" t="str" cm="1">
        <f t="array" ref="N206">_xlfn.IFS(I206="rob","Robusta",I206="exc","Excesla",I206="ara","Arabica",I206="lib","Liberica")</f>
        <v>Excesla</v>
      </c>
      <c r="O206" t="str" cm="1">
        <f t="array" ref="O206">_xlfn.IFS(J206="m","Medium",J206="l","Light",J206="d","Dark")</f>
        <v>Medium</v>
      </c>
      <c r="P206" t="str">
        <f>_xlfn.XLOOKUP(orders[[#This Row],[Customer ID]],customers!$A$2:$A$1001,customers!$I$2:$I$1001,,0)</f>
        <v>No</v>
      </c>
    </row>
    <row r="207" spans="1:16" x14ac:dyDescent="0.3">
      <c r="A207" s="2" t="s">
        <v>1643</v>
      </c>
      <c r="B207" s="6">
        <v>43883</v>
      </c>
      <c r="C207" s="2" t="s">
        <v>1644</v>
      </c>
      <c r="D207" t="s">
        <v>6163</v>
      </c>
      <c r="E207" s="2">
        <v>3</v>
      </c>
      <c r="F207" s="2" t="str">
        <f>_xlfn.XLOOKUP(C207,customers!$A$1:$A$1001,customers!$B$1:$B$1001,,0,1)</f>
        <v>Kendra Glison</v>
      </c>
      <c r="G207" s="2" t="str">
        <f>IF((_xlfn.XLOOKUP(C207,customers!$A$2:$A$1001,customers!$C$2:$C$1001,,,)=0),"",(_xlfn.XLOOKUP(C207,customers!$A$2:$A$1001,customers!$C$2:$C$1001,,0,)))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3"/>
        <v>8.0549999999999997</v>
      </c>
      <c r="N207" t="str" cm="1">
        <f t="array" ref="N207">_xlfn.IFS(I207="rob","Robusta",I207="exc","Excesla",I207="ara","Arabica",I207="lib","Liberica")</f>
        <v>Robusta</v>
      </c>
      <c r="O207" t="str" cm="1">
        <f t="array" ref="O207">_xlfn.IFS(J207="m","Medium",J207="l","Light",J207="d","Dark")</f>
        <v>Dark</v>
      </c>
      <c r="P207" t="str">
        <f>_xlfn.XLOOKUP(orders[[#This Row],[Customer ID]],customers!$A$2:$A$1001,customers!$I$2:$I$1001,,0)</f>
        <v>Yes</v>
      </c>
    </row>
    <row r="208" spans="1:16" x14ac:dyDescent="0.3">
      <c r="A208" s="2" t="s">
        <v>1648</v>
      </c>
      <c r="B208" s="6">
        <v>44211</v>
      </c>
      <c r="C208" s="2" t="s">
        <v>1649</v>
      </c>
      <c r="D208" t="s">
        <v>6155</v>
      </c>
      <c r="E208" s="2">
        <v>2</v>
      </c>
      <c r="F208" s="2" t="str">
        <f>_xlfn.XLOOKUP(C208,customers!$A$1:$A$1001,customers!$B$1:$B$1001,,0,1)</f>
        <v>Nertie Poolman</v>
      </c>
      <c r="G208" s="2" t="str">
        <f>IF((_xlfn.XLOOKUP(C208,customers!$A$2:$A$1001,customers!$C$2:$C$1001,,,)=0),"",(_xlfn.XLOOKUP(C208,customers!$A$2:$A$1001,customers!$C$2:$C$1001,,0,)))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3"/>
        <v>22.5</v>
      </c>
      <c r="N208" t="str" cm="1">
        <f t="array" ref="N208">_xlfn.IFS(I208="rob","Robusta",I208="exc","Excesla",I208="ara","Arabica",I208="lib","Liberica")</f>
        <v>Arabica</v>
      </c>
      <c r="O208" t="str" cm="1">
        <f t="array" ref="O208">_xlfn.IFS(J208="m","Medium",J208="l","Light",J208="d","Dark")</f>
        <v>Medium</v>
      </c>
      <c r="P208" t="str">
        <f>_xlfn.XLOOKUP(orders[[#This Row],[Customer ID]],customers!$A$2:$A$1001,customers!$I$2:$I$1001,,0)</f>
        <v>No</v>
      </c>
    </row>
    <row r="209" spans="1:16" x14ac:dyDescent="0.3">
      <c r="A209" s="2" t="s">
        <v>1653</v>
      </c>
      <c r="B209" s="6">
        <v>44207</v>
      </c>
      <c r="C209" s="2" t="s">
        <v>1654</v>
      </c>
      <c r="D209" t="s">
        <v>6157</v>
      </c>
      <c r="E209" s="2">
        <v>6</v>
      </c>
      <c r="F209" s="2" t="str">
        <f>_xlfn.XLOOKUP(C209,customers!$A$1:$A$1001,customers!$B$1:$B$1001,,0,1)</f>
        <v>Orbadiah Duny</v>
      </c>
      <c r="G209" s="2" t="str">
        <f>IF((_xlfn.XLOOKUP(C209,customers!$A$2:$A$1001,customers!$C$2:$C$1001,,,)=0),"",(_xlfn.XLOOKUP(C209,customers!$A$2:$A$1001,customers!$C$2:$C$1001,,0,)))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3"/>
        <v>40.5</v>
      </c>
      <c r="N209" t="str" cm="1">
        <f t="array" ref="N209">_xlfn.IFS(I209="rob","Robusta",I209="exc","Excesla",I209="ara","Arabica",I209="lib","Liberica")</f>
        <v>Arabica</v>
      </c>
      <c r="O209" t="str" cm="1">
        <f t="array" ref="O209">_xlfn.IFS(J209="m","Medium",J209="l","Light",J209="d","Dark")</f>
        <v>Medium</v>
      </c>
      <c r="P209" t="str">
        <f>_xlfn.XLOOKUP(orders[[#This Row],[Customer ID]],customers!$A$2:$A$1001,customers!$I$2:$I$1001,,0)</f>
        <v>Yes</v>
      </c>
    </row>
    <row r="210" spans="1:16" x14ac:dyDescent="0.3">
      <c r="A210" s="2" t="s">
        <v>1659</v>
      </c>
      <c r="B210" s="6">
        <v>44659</v>
      </c>
      <c r="C210" s="2" t="s">
        <v>1660</v>
      </c>
      <c r="D210" t="s">
        <v>6144</v>
      </c>
      <c r="E210" s="2">
        <v>4</v>
      </c>
      <c r="F210" s="2" t="str">
        <f>_xlfn.XLOOKUP(C210,customers!$A$1:$A$1001,customers!$B$1:$B$1001,,0,1)</f>
        <v>Constance Halfhide</v>
      </c>
      <c r="G210" s="2" t="str">
        <f>IF((_xlfn.XLOOKUP(C210,customers!$A$2:$A$1001,customers!$C$2:$C$1001,,,)=0),"",(_xlfn.XLOOKUP(C210,customers!$A$2:$A$1001,customers!$C$2:$C$1001,,0,)))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3"/>
        <v>29.16</v>
      </c>
      <c r="N210" t="str" cm="1">
        <f t="array" ref="N210">_xlfn.IFS(I210="rob","Robusta",I210="exc","Excesla",I210="ara","Arabica",I210="lib","Liberica")</f>
        <v>Excesla</v>
      </c>
      <c r="O210" t="str" cm="1">
        <f t="array" ref="O210">_xlfn.IFS(J210="m","Medium",J210="l","Light",J210="d","Dark")</f>
        <v>Dark</v>
      </c>
      <c r="P210" t="str">
        <f>_xlfn.XLOOKUP(orders[[#This Row],[Customer ID]],customers!$A$2:$A$1001,customers!$I$2:$I$1001,,0)</f>
        <v>Yes</v>
      </c>
    </row>
    <row r="211" spans="1:16" x14ac:dyDescent="0.3">
      <c r="A211" s="2" t="s">
        <v>1665</v>
      </c>
      <c r="B211" s="6">
        <v>44105</v>
      </c>
      <c r="C211" s="2" t="s">
        <v>1666</v>
      </c>
      <c r="D211" t="s">
        <v>6157</v>
      </c>
      <c r="E211" s="2">
        <v>1</v>
      </c>
      <c r="F211" s="2" t="str">
        <f>_xlfn.XLOOKUP(C211,customers!$A$1:$A$1001,customers!$B$1:$B$1001,,0,1)</f>
        <v>Fransisco Malecky</v>
      </c>
      <c r="G211" s="2" t="str">
        <f>IF((_xlfn.XLOOKUP(C211,customers!$A$2:$A$1001,customers!$C$2:$C$1001,,,)=0),"",(_xlfn.XLOOKUP(C211,customers!$A$2:$A$1001,customers!$C$2:$C$1001,,0,)))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3"/>
        <v>6.75</v>
      </c>
      <c r="N211" t="str" cm="1">
        <f t="array" ref="N211">_xlfn.IFS(I211="rob","Robusta",I211="exc","Excesla",I211="ara","Arabica",I211="lib","Liberica")</f>
        <v>Arabica</v>
      </c>
      <c r="O211" t="str" cm="1">
        <f t="array" ref="O211">_xlfn.IFS(J211="m","Medium",J211="l","Light",J211="d","Dark")</f>
        <v>Medium</v>
      </c>
      <c r="P211" t="str">
        <f>_xlfn.XLOOKUP(orders[[#This Row],[Customer ID]],customers!$A$2:$A$1001,customers!$I$2:$I$1001,,0)</f>
        <v>No</v>
      </c>
    </row>
    <row r="212" spans="1:16" x14ac:dyDescent="0.3">
      <c r="A212" s="2" t="s">
        <v>1671</v>
      </c>
      <c r="B212" s="6">
        <v>43766</v>
      </c>
      <c r="C212" s="2" t="s">
        <v>1672</v>
      </c>
      <c r="D212" t="s">
        <v>6143</v>
      </c>
      <c r="E212" s="2">
        <v>4</v>
      </c>
      <c r="F212" s="2" t="str">
        <f>_xlfn.XLOOKUP(C212,customers!$A$1:$A$1001,customers!$B$1:$B$1001,,0,1)</f>
        <v>Anselma Attwater</v>
      </c>
      <c r="G212" s="2" t="str">
        <f>IF((_xlfn.XLOOKUP(C212,customers!$A$2:$A$1001,customers!$C$2:$C$1001,,,)=0),"",(_xlfn.XLOOKUP(C212,customers!$A$2:$A$1001,customers!$C$2:$C$1001,,0,)))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3"/>
        <v>51.8</v>
      </c>
      <c r="N212" t="str" cm="1">
        <f t="array" ref="N212">_xlfn.IFS(I212="rob","Robusta",I212="exc","Excesla",I212="ara","Arabica",I212="lib","Liberica")</f>
        <v>Liberica</v>
      </c>
      <c r="O212" t="str" cm="1">
        <f t="array" ref="O212">_xlfn.IFS(J212="m","Medium",J212="l","Light",J212="d","Dark")</f>
        <v>Dark</v>
      </c>
      <c r="P212" t="str">
        <f>_xlfn.XLOOKUP(orders[[#This Row],[Customer ID]],customers!$A$2:$A$1001,customers!$I$2:$I$1001,,0)</f>
        <v>Yes</v>
      </c>
    </row>
    <row r="213" spans="1:16" x14ac:dyDescent="0.3">
      <c r="A213" s="2" t="s">
        <v>1677</v>
      </c>
      <c r="B213" s="6">
        <v>44283</v>
      </c>
      <c r="C213" s="2" t="s">
        <v>1678</v>
      </c>
      <c r="D213" t="s">
        <v>6176</v>
      </c>
      <c r="E213" s="2">
        <v>6</v>
      </c>
      <c r="F213" s="2" t="str">
        <f>_xlfn.XLOOKUP(C213,customers!$A$1:$A$1001,customers!$B$1:$B$1001,,0,1)</f>
        <v>Minette Whellans</v>
      </c>
      <c r="G213" s="2" t="str">
        <f>IF((_xlfn.XLOOKUP(C213,customers!$A$2:$A$1001,customers!$C$2:$C$1001,,,)=0),"",(_xlfn.XLOOKUP(C213,customers!$A$2:$A$1001,customers!$C$2:$C$1001,,0,)))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3"/>
        <v>53.46</v>
      </c>
      <c r="N213" t="str" cm="1">
        <f t="array" ref="N213">_xlfn.IFS(I213="rob","Robusta",I213="exc","Excesla",I213="ara","Arabica",I213="lib","Liberica")</f>
        <v>Excesla</v>
      </c>
      <c r="O213" t="str" cm="1">
        <f t="array" ref="O213">_xlfn.IFS(J213="m","Medium",J213="l","Light",J213="d","Dark")</f>
        <v>Light</v>
      </c>
      <c r="P213" t="str">
        <f>_xlfn.XLOOKUP(orders[[#This Row],[Customer ID]],customers!$A$2:$A$1001,customers!$I$2:$I$1001,,0)</f>
        <v>No</v>
      </c>
    </row>
    <row r="214" spans="1:16" x14ac:dyDescent="0.3">
      <c r="A214" s="2" t="s">
        <v>1682</v>
      </c>
      <c r="B214" s="6">
        <v>43921</v>
      </c>
      <c r="C214" s="2" t="s">
        <v>1683</v>
      </c>
      <c r="D214" t="s">
        <v>6153</v>
      </c>
      <c r="E214" s="2">
        <v>4</v>
      </c>
      <c r="F214" s="2" t="str">
        <f>_xlfn.XLOOKUP(C214,customers!$A$1:$A$1001,customers!$B$1:$B$1001,,0,1)</f>
        <v>Dael Camilletti</v>
      </c>
      <c r="G214" s="2" t="str">
        <f>IF((_xlfn.XLOOKUP(C214,customers!$A$2:$A$1001,customers!$C$2:$C$1001,,,)=0),"",(_xlfn.XLOOKUP(C214,customers!$A$2:$A$1001,customers!$C$2:$C$1001,,0,)))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3"/>
        <v>14.58</v>
      </c>
      <c r="N214" t="str" cm="1">
        <f t="array" ref="N214">_xlfn.IFS(I214="rob","Robusta",I214="exc","Excesla",I214="ara","Arabica",I214="lib","Liberica")</f>
        <v>Excesla</v>
      </c>
      <c r="O214" t="str" cm="1">
        <f t="array" ref="O214">_xlfn.IFS(J214="m","Medium",J214="l","Light",J214="d","Dark")</f>
        <v>Dark</v>
      </c>
      <c r="P214" t="str">
        <f>_xlfn.XLOOKUP(orders[[#This Row],[Customer ID]],customers!$A$2:$A$1001,customers!$I$2:$I$1001,,0)</f>
        <v>Yes</v>
      </c>
    </row>
    <row r="215" spans="1:16" x14ac:dyDescent="0.3">
      <c r="A215" s="2" t="s">
        <v>1688</v>
      </c>
      <c r="B215" s="6">
        <v>44646</v>
      </c>
      <c r="C215" s="2" t="s">
        <v>1689</v>
      </c>
      <c r="D215" t="s">
        <v>6149</v>
      </c>
      <c r="E215" s="2">
        <v>1</v>
      </c>
      <c r="F215" s="2" t="str">
        <f>_xlfn.XLOOKUP(C215,customers!$A$1:$A$1001,customers!$B$1:$B$1001,,0,1)</f>
        <v>Emiline Galgey</v>
      </c>
      <c r="G215" s="2" t="str">
        <f>IF((_xlfn.XLOOKUP(C215,customers!$A$2:$A$1001,customers!$C$2:$C$1001,,,)=0),"",(_xlfn.XLOOKUP(C215,customers!$A$2:$A$1001,customers!$C$2:$C$1001,,0,)))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3"/>
        <v>20.584999999999997</v>
      </c>
      <c r="N215" t="str" cm="1">
        <f t="array" ref="N215">_xlfn.IFS(I215="rob","Robusta",I215="exc","Excesla",I215="ara","Arabica",I215="lib","Liberica")</f>
        <v>Robusta</v>
      </c>
      <c r="O215" t="str" cm="1">
        <f t="array" ref="O215">_xlfn.IFS(J215="m","Medium",J215="l","Light",J215="d","Dark")</f>
        <v>Dark</v>
      </c>
      <c r="P215" t="str">
        <f>_xlfn.XLOOKUP(orders[[#This Row],[Customer ID]],customers!$A$2:$A$1001,customers!$I$2:$I$1001,,0)</f>
        <v>No</v>
      </c>
    </row>
    <row r="216" spans="1:16" x14ac:dyDescent="0.3">
      <c r="A216" s="2" t="s">
        <v>1694</v>
      </c>
      <c r="B216" s="6">
        <v>43775</v>
      </c>
      <c r="C216" s="2" t="s">
        <v>1695</v>
      </c>
      <c r="D216" t="s">
        <v>6170</v>
      </c>
      <c r="E216" s="2">
        <v>2</v>
      </c>
      <c r="F216" s="2" t="str">
        <f>_xlfn.XLOOKUP(C216,customers!$A$1:$A$1001,customers!$B$1:$B$1001,,0,1)</f>
        <v>Murdock Hame</v>
      </c>
      <c r="G216" s="2" t="str">
        <f>IF((_xlfn.XLOOKUP(C216,customers!$A$2:$A$1001,customers!$C$2:$C$1001,,,)=0),"",(_xlfn.XLOOKUP(C216,customers!$A$2:$A$1001,customers!$C$2:$C$1001,,0,)))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3"/>
        <v>31.7</v>
      </c>
      <c r="N216" t="str" cm="1">
        <f t="array" ref="N216">_xlfn.IFS(I216="rob","Robusta",I216="exc","Excesla",I216="ara","Arabica",I216="lib","Liberica")</f>
        <v>Liberica</v>
      </c>
      <c r="O216" t="str" cm="1">
        <f t="array" ref="O216">_xlfn.IFS(J216="m","Medium",J216="l","Light",J216="d","Dark")</f>
        <v>Light</v>
      </c>
      <c r="P216" t="str">
        <f>_xlfn.XLOOKUP(orders[[#This Row],[Customer ID]],customers!$A$2:$A$1001,customers!$I$2:$I$1001,,0)</f>
        <v>No</v>
      </c>
    </row>
    <row r="217" spans="1:16" x14ac:dyDescent="0.3">
      <c r="A217" s="2" t="s">
        <v>1701</v>
      </c>
      <c r="B217" s="6">
        <v>43829</v>
      </c>
      <c r="C217" s="2" t="s">
        <v>1702</v>
      </c>
      <c r="D217" t="s">
        <v>6150</v>
      </c>
      <c r="E217" s="2">
        <v>6</v>
      </c>
      <c r="F217" s="2" t="str">
        <f>_xlfn.XLOOKUP(C217,customers!$A$1:$A$1001,customers!$B$1:$B$1001,,0,1)</f>
        <v>Ilka Gurnee</v>
      </c>
      <c r="G217" s="2" t="str">
        <f>IF((_xlfn.XLOOKUP(C217,customers!$A$2:$A$1001,customers!$C$2:$C$1001,,,)=0),"",(_xlfn.XLOOKUP(C217,customers!$A$2:$A$1001,customers!$C$2:$C$1001,,0,)))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3"/>
        <v>23.31</v>
      </c>
      <c r="N217" t="str" cm="1">
        <f t="array" ref="N217">_xlfn.IFS(I217="rob","Robusta",I217="exc","Excesla",I217="ara","Arabica",I217="lib","Liberica")</f>
        <v>Liberica</v>
      </c>
      <c r="O217" t="str" cm="1">
        <f t="array" ref="O217">_xlfn.IFS(J217="m","Medium",J217="l","Light",J217="d","Dark")</f>
        <v>Dark</v>
      </c>
      <c r="P217" t="str">
        <f>_xlfn.XLOOKUP(orders[[#This Row],[Customer ID]],customers!$A$2:$A$1001,customers!$I$2:$I$1001,,0)</f>
        <v>No</v>
      </c>
    </row>
    <row r="218" spans="1:16" x14ac:dyDescent="0.3">
      <c r="A218" s="2" t="s">
        <v>1707</v>
      </c>
      <c r="B218" s="6">
        <v>44470</v>
      </c>
      <c r="C218" s="2" t="s">
        <v>1708</v>
      </c>
      <c r="D218" t="s">
        <v>6162</v>
      </c>
      <c r="E218" s="2">
        <v>4</v>
      </c>
      <c r="F218" s="2" t="str">
        <f>_xlfn.XLOOKUP(C218,customers!$A$1:$A$1001,customers!$B$1:$B$1001,,0,1)</f>
        <v>Alfy Snowding</v>
      </c>
      <c r="G218" s="2" t="str">
        <f>IF((_xlfn.XLOOKUP(C218,customers!$A$2:$A$1001,customers!$C$2:$C$1001,,,)=0),"",(_xlfn.XLOOKUP(C218,customers!$A$2:$A$1001,customers!$C$2:$C$1001,,0,)))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3"/>
        <v>58.2</v>
      </c>
      <c r="N218" t="str" cm="1">
        <f t="array" ref="N218">_xlfn.IFS(I218="rob","Robusta",I218="exc","Excesla",I218="ara","Arabica",I218="lib","Liberica")</f>
        <v>Liberica</v>
      </c>
      <c r="O218" t="str" cm="1">
        <f t="array" ref="O218">_xlfn.IFS(J218="m","Medium",J218="l","Light",J218="d","Dark")</f>
        <v>Medium</v>
      </c>
      <c r="P218" t="str">
        <f>_xlfn.XLOOKUP(orders[[#This Row],[Customer ID]],customers!$A$2:$A$1001,customers!$I$2:$I$1001,,0)</f>
        <v>Yes</v>
      </c>
    </row>
    <row r="219" spans="1:16" x14ac:dyDescent="0.3">
      <c r="A219" s="2" t="s">
        <v>1713</v>
      </c>
      <c r="B219" s="6">
        <v>44174</v>
      </c>
      <c r="C219" s="2" t="s">
        <v>1714</v>
      </c>
      <c r="D219" t="s">
        <v>6176</v>
      </c>
      <c r="E219" s="2">
        <v>4</v>
      </c>
      <c r="F219" s="2" t="str">
        <f>_xlfn.XLOOKUP(C219,customers!$A$1:$A$1001,customers!$B$1:$B$1001,,0,1)</f>
        <v>Godfry Poinsett</v>
      </c>
      <c r="G219" s="2" t="str">
        <f>IF((_xlfn.XLOOKUP(C219,customers!$A$2:$A$1001,customers!$C$2:$C$1001,,,)=0),"",(_xlfn.XLOOKUP(C219,customers!$A$2:$A$1001,customers!$C$2:$C$1001,,0,)))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3"/>
        <v>35.64</v>
      </c>
      <c r="N219" t="str" cm="1">
        <f t="array" ref="N219">_xlfn.IFS(I219="rob","Robusta",I219="exc","Excesla",I219="ara","Arabica",I219="lib","Liberica")</f>
        <v>Excesla</v>
      </c>
      <c r="O219" t="str" cm="1">
        <f t="array" ref="O219">_xlfn.IFS(J219="m","Medium",J219="l","Light",J219="d","Dark")</f>
        <v>Light</v>
      </c>
      <c r="P219" t="str">
        <f>_xlfn.XLOOKUP(orders[[#This Row],[Customer ID]],customers!$A$2:$A$1001,customers!$I$2:$I$1001,,0)</f>
        <v>No</v>
      </c>
    </row>
    <row r="220" spans="1:16" x14ac:dyDescent="0.3">
      <c r="A220" s="2" t="s">
        <v>1719</v>
      </c>
      <c r="B220" s="6">
        <v>44317</v>
      </c>
      <c r="C220" s="2" t="s">
        <v>1720</v>
      </c>
      <c r="D220" t="s">
        <v>6155</v>
      </c>
      <c r="E220" s="2">
        <v>5</v>
      </c>
      <c r="F220" s="2" t="str">
        <f>_xlfn.XLOOKUP(C220,customers!$A$1:$A$1001,customers!$B$1:$B$1001,,0,1)</f>
        <v>Rem Furman</v>
      </c>
      <c r="G220" s="2" t="str">
        <f>IF((_xlfn.XLOOKUP(C220,customers!$A$2:$A$1001,customers!$C$2:$C$1001,,,)=0),"",(_xlfn.XLOOKUP(C220,customers!$A$2:$A$1001,customers!$C$2:$C$1001,,0,)))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3"/>
        <v>56.25</v>
      </c>
      <c r="N220" t="str" cm="1">
        <f t="array" ref="N220">_xlfn.IFS(I220="rob","Robusta",I220="exc","Excesla",I220="ara","Arabica",I220="lib","Liberica")</f>
        <v>Arabica</v>
      </c>
      <c r="O220" t="str" cm="1">
        <f t="array" ref="O220">_xlfn.IFS(J220="m","Medium",J220="l","Light",J220="d","Dark")</f>
        <v>Medium</v>
      </c>
      <c r="P220" t="str">
        <f>_xlfn.XLOOKUP(orders[[#This Row],[Customer ID]],customers!$A$2:$A$1001,customers!$I$2:$I$1001,,0)</f>
        <v>Yes</v>
      </c>
    </row>
    <row r="221" spans="1:16" x14ac:dyDescent="0.3">
      <c r="A221" s="2" t="s">
        <v>1725</v>
      </c>
      <c r="B221" s="6">
        <v>44777</v>
      </c>
      <c r="C221" s="2" t="s">
        <v>1726</v>
      </c>
      <c r="D221" t="s">
        <v>6178</v>
      </c>
      <c r="E221" s="2">
        <v>3</v>
      </c>
      <c r="F221" s="2" t="str">
        <f>_xlfn.XLOOKUP(C221,customers!$A$1:$A$1001,customers!$B$1:$B$1001,,0,1)</f>
        <v>Charis Crosier</v>
      </c>
      <c r="G221" s="2" t="str">
        <f>IF((_xlfn.XLOOKUP(C221,customers!$A$2:$A$1001,customers!$C$2:$C$1001,,,)=0),"",(_xlfn.XLOOKUP(C221,customers!$A$2:$A$1001,customers!$C$2:$C$1001,,0,)))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3"/>
        <v>10.754999999999999</v>
      </c>
      <c r="N221" t="str" cm="1">
        <f t="array" ref="N221">_xlfn.IFS(I221="rob","Robusta",I221="exc","Excesla",I221="ara","Arabica",I221="lib","Liberica")</f>
        <v>Robusta</v>
      </c>
      <c r="O221" t="str" cm="1">
        <f t="array" ref="O221">_xlfn.IFS(J221="m","Medium",J221="l","Light",J221="d","Dark")</f>
        <v>Light</v>
      </c>
      <c r="P221" t="str">
        <f>_xlfn.XLOOKUP(orders[[#This Row],[Customer ID]],customers!$A$2:$A$1001,customers!$I$2:$I$1001,,0)</f>
        <v>No</v>
      </c>
    </row>
    <row r="222" spans="1:16" x14ac:dyDescent="0.3">
      <c r="A222" s="2" t="s">
        <v>1725</v>
      </c>
      <c r="B222" s="6">
        <v>44777</v>
      </c>
      <c r="C222" s="2" t="s">
        <v>1726</v>
      </c>
      <c r="D222" t="s">
        <v>6174</v>
      </c>
      <c r="E222" s="2">
        <v>5</v>
      </c>
      <c r="F222" s="2" t="str">
        <f>_xlfn.XLOOKUP(C222,customers!$A$1:$A$1001,customers!$B$1:$B$1001,,0,1)</f>
        <v>Charis Crosier</v>
      </c>
      <c r="G222" s="2" t="str">
        <f>IF((_xlfn.XLOOKUP(C222,customers!$A$2:$A$1001,customers!$C$2:$C$1001,,,)=0),"",(_xlfn.XLOOKUP(C222,customers!$A$2:$A$1001,customers!$C$2:$C$1001,,0,)))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3"/>
        <v>14.924999999999999</v>
      </c>
      <c r="N222" t="str" cm="1">
        <f t="array" ref="N222">_xlfn.IFS(I222="rob","Robusta",I222="exc","Excesla",I222="ara","Arabica",I222="lib","Liberica")</f>
        <v>Robusta</v>
      </c>
      <c r="O222" t="str" cm="1">
        <f t="array" ref="O222">_xlfn.IFS(J222="m","Medium",J222="l","Light",J222="d","Dark")</f>
        <v>Medium</v>
      </c>
      <c r="P222" t="str">
        <f>_xlfn.XLOOKUP(orders[[#This Row],[Customer ID]],customers!$A$2:$A$1001,customers!$I$2:$I$1001,,0)</f>
        <v>No</v>
      </c>
    </row>
    <row r="223" spans="1:16" x14ac:dyDescent="0.3">
      <c r="A223" s="2" t="s">
        <v>1736</v>
      </c>
      <c r="B223" s="6">
        <v>44513</v>
      </c>
      <c r="C223" s="2" t="s">
        <v>1737</v>
      </c>
      <c r="D223" t="s">
        <v>6140</v>
      </c>
      <c r="E223" s="2">
        <v>6</v>
      </c>
      <c r="F223" s="2" t="str">
        <f>_xlfn.XLOOKUP(C223,customers!$A$1:$A$1001,customers!$B$1:$B$1001,,0,1)</f>
        <v>Lenka Rushmer</v>
      </c>
      <c r="G223" s="2" t="str">
        <f>IF((_xlfn.XLOOKUP(C223,customers!$A$2:$A$1001,customers!$C$2:$C$1001,,,)=0),"",(_xlfn.XLOOKUP(C223,customers!$A$2:$A$1001,customers!$C$2:$C$1001,,0,)))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3"/>
        <v>77.699999999999989</v>
      </c>
      <c r="N223" t="str" cm="1">
        <f t="array" ref="N223">_xlfn.IFS(I223="rob","Robusta",I223="exc","Excesla",I223="ara","Arabica",I223="lib","Liberica")</f>
        <v>Arabica</v>
      </c>
      <c r="O223" t="str" cm="1">
        <f t="array" ref="O223">_xlfn.IFS(J223="m","Medium",J223="l","Light",J223="d","Dark")</f>
        <v>Light</v>
      </c>
      <c r="P223" t="str">
        <f>_xlfn.XLOOKUP(orders[[#This Row],[Customer ID]],customers!$A$2:$A$1001,customers!$I$2:$I$1001,,0)</f>
        <v>Yes</v>
      </c>
    </row>
    <row r="224" spans="1:16" x14ac:dyDescent="0.3">
      <c r="A224" s="2" t="s">
        <v>1742</v>
      </c>
      <c r="B224" s="6">
        <v>44090</v>
      </c>
      <c r="C224" s="2" t="s">
        <v>1743</v>
      </c>
      <c r="D224" t="s">
        <v>6169</v>
      </c>
      <c r="E224" s="2">
        <v>3</v>
      </c>
      <c r="F224" s="2" t="str">
        <f>_xlfn.XLOOKUP(C224,customers!$A$1:$A$1001,customers!$B$1:$B$1001,,0,1)</f>
        <v>Waneta Edinborough</v>
      </c>
      <c r="G224" s="2" t="str">
        <f>IF((_xlfn.XLOOKUP(C224,customers!$A$2:$A$1001,customers!$C$2:$C$1001,,,)=0),"",(_xlfn.XLOOKUP(C224,customers!$A$2:$A$1001,customers!$C$2:$C$1001,,0,)))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3"/>
        <v>23.31</v>
      </c>
      <c r="N224" t="str" cm="1">
        <f t="array" ref="N224">_xlfn.IFS(I224="rob","Robusta",I224="exc","Excesla",I224="ara","Arabica",I224="lib","Liberica")</f>
        <v>Liberica</v>
      </c>
      <c r="O224" t="str" cm="1">
        <f t="array" ref="O224">_xlfn.IFS(J224="m","Medium",J224="l","Light",J224="d","Dark")</f>
        <v>Dark</v>
      </c>
      <c r="P224" t="str">
        <f>_xlfn.XLOOKUP(orders[[#This Row],[Customer ID]],customers!$A$2:$A$1001,customers!$I$2:$I$1001,,0)</f>
        <v>No</v>
      </c>
    </row>
    <row r="225" spans="1:16" x14ac:dyDescent="0.3">
      <c r="A225" s="2" t="s">
        <v>1748</v>
      </c>
      <c r="B225" s="6">
        <v>44109</v>
      </c>
      <c r="C225" s="2" t="s">
        <v>1749</v>
      </c>
      <c r="D225" t="s">
        <v>6171</v>
      </c>
      <c r="E225" s="2">
        <v>4</v>
      </c>
      <c r="F225" s="2" t="str">
        <f>_xlfn.XLOOKUP(C225,customers!$A$1:$A$1001,customers!$B$1:$B$1001,,0,1)</f>
        <v>Bobbe Piggott</v>
      </c>
      <c r="G225" s="2" t="str">
        <f>IF((_xlfn.XLOOKUP(C225,customers!$A$2:$A$1001,customers!$C$2:$C$1001,,,)=0),"",(_xlfn.XLOOKUP(C225,customers!$A$2:$A$1001,customers!$C$2:$C$1001,,0,)))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3"/>
        <v>59.4</v>
      </c>
      <c r="N225" t="str" cm="1">
        <f t="array" ref="N225">_xlfn.IFS(I225="rob","Robusta",I225="exc","Excesla",I225="ara","Arabica",I225="lib","Liberica")</f>
        <v>Excesla</v>
      </c>
      <c r="O225" t="str" cm="1">
        <f t="array" ref="O225">_xlfn.IFS(J225="m","Medium",J225="l","Light",J225="d","Dark")</f>
        <v>Light</v>
      </c>
      <c r="P225" t="str">
        <f>_xlfn.XLOOKUP(orders[[#This Row],[Customer ID]],customers!$A$2:$A$1001,customers!$I$2:$I$1001,,0)</f>
        <v>Yes</v>
      </c>
    </row>
    <row r="226" spans="1:16" x14ac:dyDescent="0.3">
      <c r="A226" s="2" t="s">
        <v>1753</v>
      </c>
      <c r="B226" s="6">
        <v>43836</v>
      </c>
      <c r="C226" s="2" t="s">
        <v>1754</v>
      </c>
      <c r="D226" t="s">
        <v>6165</v>
      </c>
      <c r="E226" s="2">
        <v>4</v>
      </c>
      <c r="F226" s="2" t="str">
        <f>_xlfn.XLOOKUP(C226,customers!$A$1:$A$1001,customers!$B$1:$B$1001,,0,1)</f>
        <v>Ketty Bromehead</v>
      </c>
      <c r="G226" s="2" t="str">
        <f>IF((_xlfn.XLOOKUP(C226,customers!$A$2:$A$1001,customers!$C$2:$C$1001,,,)=0),"",(_xlfn.XLOOKUP(C226,customers!$A$2:$A$1001,customers!$C$2:$C$1001,,0,)))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3"/>
        <v>119.13999999999999</v>
      </c>
      <c r="N226" t="str" cm="1">
        <f t="array" ref="N226">_xlfn.IFS(I226="rob","Robusta",I226="exc","Excesla",I226="ara","Arabica",I226="lib","Liberica")</f>
        <v>Liberica</v>
      </c>
      <c r="O226" t="str" cm="1">
        <f t="array" ref="O226">_xlfn.IFS(J226="m","Medium",J226="l","Light",J226="d","Dark")</f>
        <v>Dark</v>
      </c>
      <c r="P226" t="str">
        <f>_xlfn.XLOOKUP(orders[[#This Row],[Customer ID]],customers!$A$2:$A$1001,customers!$I$2:$I$1001,,0)</f>
        <v>Yes</v>
      </c>
    </row>
    <row r="227" spans="1:16" x14ac:dyDescent="0.3">
      <c r="A227" s="2" t="s">
        <v>1759</v>
      </c>
      <c r="B227" s="6">
        <v>44337</v>
      </c>
      <c r="C227" s="2" t="s">
        <v>1760</v>
      </c>
      <c r="D227" t="s">
        <v>6178</v>
      </c>
      <c r="E227" s="2">
        <v>4</v>
      </c>
      <c r="F227" s="2" t="str">
        <f>_xlfn.XLOOKUP(C227,customers!$A$1:$A$1001,customers!$B$1:$B$1001,,0,1)</f>
        <v>Elsbeth Westerman</v>
      </c>
      <c r="G227" s="2" t="str">
        <f>IF((_xlfn.XLOOKUP(C227,customers!$A$2:$A$1001,customers!$C$2:$C$1001,,,)=0),"",(_xlfn.XLOOKUP(C227,customers!$A$2:$A$1001,customers!$C$2:$C$1001,,0,)))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3"/>
        <v>14.339999999999998</v>
      </c>
      <c r="N227" t="str" cm="1">
        <f t="array" ref="N227">_xlfn.IFS(I227="rob","Robusta",I227="exc","Excesla",I227="ara","Arabica",I227="lib","Liberica")</f>
        <v>Robusta</v>
      </c>
      <c r="O227" t="str" cm="1">
        <f t="array" ref="O227">_xlfn.IFS(J227="m","Medium",J227="l","Light",J227="d","Dark")</f>
        <v>Light</v>
      </c>
      <c r="P227" t="str">
        <f>_xlfn.XLOOKUP(orders[[#This Row],[Customer ID]],customers!$A$2:$A$1001,customers!$I$2:$I$1001,,0)</f>
        <v>No</v>
      </c>
    </row>
    <row r="228" spans="1:16" x14ac:dyDescent="0.3">
      <c r="A228" s="2" t="s">
        <v>1765</v>
      </c>
      <c r="B228" s="6">
        <v>43887</v>
      </c>
      <c r="C228" s="2" t="s">
        <v>1766</v>
      </c>
      <c r="D228" t="s">
        <v>6175</v>
      </c>
      <c r="E228" s="2">
        <v>5</v>
      </c>
      <c r="F228" s="2" t="str">
        <f>_xlfn.XLOOKUP(C228,customers!$A$1:$A$1001,customers!$B$1:$B$1001,,0,1)</f>
        <v>Anabelle Hutchens</v>
      </c>
      <c r="G228" s="2" t="str">
        <f>IF((_xlfn.XLOOKUP(C228,customers!$A$2:$A$1001,customers!$C$2:$C$1001,,,)=0),"",(_xlfn.XLOOKUP(C228,customers!$A$2:$A$1001,customers!$C$2:$C$1001,,0,)))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3"/>
        <v>129.37499999999997</v>
      </c>
      <c r="N228" t="str" cm="1">
        <f t="array" ref="N228">_xlfn.IFS(I228="rob","Robusta",I228="exc","Excesla",I228="ara","Arabica",I228="lib","Liberica")</f>
        <v>Arabica</v>
      </c>
      <c r="O228" t="str" cm="1">
        <f t="array" ref="O228">_xlfn.IFS(J228="m","Medium",J228="l","Light",J228="d","Dark")</f>
        <v>Medium</v>
      </c>
      <c r="P228" t="str">
        <f>_xlfn.XLOOKUP(orders[[#This Row],[Customer ID]],customers!$A$2:$A$1001,customers!$I$2:$I$1001,,0)</f>
        <v>No</v>
      </c>
    </row>
    <row r="229" spans="1:16" x14ac:dyDescent="0.3">
      <c r="A229" s="2" t="s">
        <v>1771</v>
      </c>
      <c r="B229" s="6">
        <v>43880</v>
      </c>
      <c r="C229" s="2" t="s">
        <v>1772</v>
      </c>
      <c r="D229" t="s">
        <v>6163</v>
      </c>
      <c r="E229" s="2">
        <v>6</v>
      </c>
      <c r="F229" s="2" t="str">
        <f>_xlfn.XLOOKUP(C229,customers!$A$1:$A$1001,customers!$B$1:$B$1001,,0,1)</f>
        <v>Noak Wyvill</v>
      </c>
      <c r="G229" s="2" t="str">
        <f>IF((_xlfn.XLOOKUP(C229,customers!$A$2:$A$1001,customers!$C$2:$C$1001,,,)=0),"",(_xlfn.XLOOKUP(C229,customers!$A$2:$A$1001,customers!$C$2:$C$1001,,0,)))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3"/>
        <v>16.11</v>
      </c>
      <c r="N229" t="str" cm="1">
        <f t="array" ref="N229">_xlfn.IFS(I229="rob","Robusta",I229="exc","Excesla",I229="ara","Arabica",I229="lib","Liberica")</f>
        <v>Robusta</v>
      </c>
      <c r="O229" t="str" cm="1">
        <f t="array" ref="O229">_xlfn.IFS(J229="m","Medium",J229="l","Light",J229="d","Dark")</f>
        <v>Dark</v>
      </c>
      <c r="P229" t="str">
        <f>_xlfn.XLOOKUP(orders[[#This Row],[Customer ID]],customers!$A$2:$A$1001,customers!$I$2:$I$1001,,0)</f>
        <v>Yes</v>
      </c>
    </row>
    <row r="230" spans="1:16" x14ac:dyDescent="0.3">
      <c r="A230" s="2" t="s">
        <v>1777</v>
      </c>
      <c r="B230" s="6">
        <v>44376</v>
      </c>
      <c r="C230" s="2" t="s">
        <v>1778</v>
      </c>
      <c r="D230" t="s">
        <v>6178</v>
      </c>
      <c r="E230" s="2">
        <v>5</v>
      </c>
      <c r="F230" s="2" t="str">
        <f>_xlfn.XLOOKUP(C230,customers!$A$1:$A$1001,customers!$B$1:$B$1001,,0,1)</f>
        <v>Beltran Mathon</v>
      </c>
      <c r="G230" s="2" t="str">
        <f>IF((_xlfn.XLOOKUP(C230,customers!$A$2:$A$1001,customers!$C$2:$C$1001,,,)=0),"",(_xlfn.XLOOKUP(C230,customers!$A$2:$A$1001,customers!$C$2:$C$1001,,0,)))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3"/>
        <v>17.924999999999997</v>
      </c>
      <c r="N230" t="str" cm="1">
        <f t="array" ref="N230">_xlfn.IFS(I230="rob","Robusta",I230="exc","Excesla",I230="ara","Arabica",I230="lib","Liberica")</f>
        <v>Robusta</v>
      </c>
      <c r="O230" t="str" cm="1">
        <f t="array" ref="O230">_xlfn.IFS(J230="m","Medium",J230="l","Light",J230="d","Dark")</f>
        <v>Light</v>
      </c>
      <c r="P230" t="str">
        <f>_xlfn.XLOOKUP(orders[[#This Row],[Customer ID]],customers!$A$2:$A$1001,customers!$I$2:$I$1001,,0)</f>
        <v>No</v>
      </c>
    </row>
    <row r="231" spans="1:16" x14ac:dyDescent="0.3">
      <c r="A231" s="2" t="s">
        <v>1783</v>
      </c>
      <c r="B231" s="6">
        <v>44282</v>
      </c>
      <c r="C231" s="2" t="s">
        <v>1784</v>
      </c>
      <c r="D231" t="s">
        <v>6159</v>
      </c>
      <c r="E231" s="2">
        <v>2</v>
      </c>
      <c r="F231" s="2" t="str">
        <f>_xlfn.XLOOKUP(C231,customers!$A$1:$A$1001,customers!$B$1:$B$1001,,0,1)</f>
        <v>Kristos Streight</v>
      </c>
      <c r="G231" s="2" t="str">
        <f>IF((_xlfn.XLOOKUP(C231,customers!$A$2:$A$1001,customers!$C$2:$C$1001,,,)=0),"",(_xlfn.XLOOKUP(C231,customers!$A$2:$A$1001,customers!$C$2:$C$1001,,0,)))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3"/>
        <v>8.73</v>
      </c>
      <c r="N231" t="str" cm="1">
        <f t="array" ref="N231">_xlfn.IFS(I231="rob","Robusta",I231="exc","Excesla",I231="ara","Arabica",I231="lib","Liberica")</f>
        <v>Liberica</v>
      </c>
      <c r="O231" t="str" cm="1">
        <f t="array" ref="O231">_xlfn.IFS(J231="m","Medium",J231="l","Light",J231="d","Dark")</f>
        <v>Medium</v>
      </c>
      <c r="P231" t="str">
        <f>_xlfn.XLOOKUP(orders[[#This Row],[Customer ID]],customers!$A$2:$A$1001,customers!$I$2:$I$1001,,0)</f>
        <v>No</v>
      </c>
    </row>
    <row r="232" spans="1:16" x14ac:dyDescent="0.3">
      <c r="A232" s="2" t="s">
        <v>1789</v>
      </c>
      <c r="B232" s="6">
        <v>44496</v>
      </c>
      <c r="C232" s="2" t="s">
        <v>1790</v>
      </c>
      <c r="D232" t="s">
        <v>6175</v>
      </c>
      <c r="E232" s="2">
        <v>2</v>
      </c>
      <c r="F232" s="2" t="str">
        <f>_xlfn.XLOOKUP(C232,customers!$A$1:$A$1001,customers!$B$1:$B$1001,,0,1)</f>
        <v>Portie Cutchie</v>
      </c>
      <c r="G232" s="2" t="str">
        <f>IF((_xlfn.XLOOKUP(C232,customers!$A$2:$A$1001,customers!$C$2:$C$1001,,,)=0),"",(_xlfn.XLOOKUP(C232,customers!$A$2:$A$1001,customers!$C$2:$C$1001,,0,)))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3"/>
        <v>51.749999999999993</v>
      </c>
      <c r="N232" t="str" cm="1">
        <f t="array" ref="N232">_xlfn.IFS(I232="rob","Robusta",I232="exc","Excesla",I232="ara","Arabica",I232="lib","Liberica")</f>
        <v>Arabica</v>
      </c>
      <c r="O232" t="str" cm="1">
        <f t="array" ref="O232">_xlfn.IFS(J232="m","Medium",J232="l","Light",J232="d","Dark")</f>
        <v>Medium</v>
      </c>
      <c r="P232" t="str">
        <f>_xlfn.XLOOKUP(orders[[#This Row],[Customer ID]],customers!$A$2:$A$1001,customers!$I$2:$I$1001,,0)</f>
        <v>No</v>
      </c>
    </row>
    <row r="233" spans="1:16" x14ac:dyDescent="0.3">
      <c r="A233" s="2" t="s">
        <v>1795</v>
      </c>
      <c r="B233" s="6">
        <v>43628</v>
      </c>
      <c r="C233" s="2" t="s">
        <v>1796</v>
      </c>
      <c r="D233" t="s">
        <v>6159</v>
      </c>
      <c r="E233" s="2">
        <v>2</v>
      </c>
      <c r="F233" s="2" t="str">
        <f>_xlfn.XLOOKUP(C233,customers!$A$1:$A$1001,customers!$B$1:$B$1001,,0,1)</f>
        <v>Sinclare Edsell</v>
      </c>
      <c r="G233" s="2" t="str">
        <f>IF((_xlfn.XLOOKUP(C233,customers!$A$2:$A$1001,customers!$C$2:$C$1001,,,)=0),"",(_xlfn.XLOOKUP(C233,customers!$A$2:$A$1001,customers!$C$2:$C$1001,,0,)))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3"/>
        <v>8.73</v>
      </c>
      <c r="N233" t="str" cm="1">
        <f t="array" ref="N233">_xlfn.IFS(I233="rob","Robusta",I233="exc","Excesla",I233="ara","Arabica",I233="lib","Liberica")</f>
        <v>Liberica</v>
      </c>
      <c r="O233" t="str" cm="1">
        <f t="array" ref="O233">_xlfn.IFS(J233="m","Medium",J233="l","Light",J233="d","Dark")</f>
        <v>Medium</v>
      </c>
      <c r="P233" t="str">
        <f>_xlfn.XLOOKUP(orders[[#This Row],[Customer ID]],customers!$A$2:$A$1001,customers!$I$2:$I$1001,,0)</f>
        <v>Yes</v>
      </c>
    </row>
    <row r="234" spans="1:16" x14ac:dyDescent="0.3">
      <c r="A234" s="2" t="s">
        <v>1800</v>
      </c>
      <c r="B234" s="6">
        <v>44010</v>
      </c>
      <c r="C234" s="2" t="s">
        <v>1801</v>
      </c>
      <c r="D234" t="s">
        <v>6145</v>
      </c>
      <c r="E234" s="2">
        <v>5</v>
      </c>
      <c r="F234" s="2" t="str">
        <f>_xlfn.XLOOKUP(C234,customers!$A$1:$A$1001,customers!$B$1:$B$1001,,0,1)</f>
        <v>Conny Gheraldi</v>
      </c>
      <c r="G234" s="2" t="str">
        <f>IF((_xlfn.XLOOKUP(C234,customers!$A$2:$A$1001,customers!$C$2:$C$1001,,,)=0),"",(_xlfn.XLOOKUP(C234,customers!$A$2:$A$1001,customers!$C$2:$C$1001,,0,)))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3"/>
        <v>23.774999999999999</v>
      </c>
      <c r="N234" t="str" cm="1">
        <f t="array" ref="N234">_xlfn.IFS(I234="rob","Robusta",I234="exc","Excesla",I234="ara","Arabica",I234="lib","Liberica")</f>
        <v>Liberica</v>
      </c>
      <c r="O234" t="str" cm="1">
        <f t="array" ref="O234">_xlfn.IFS(J234="m","Medium",J234="l","Light",J234="d","Dark")</f>
        <v>Light</v>
      </c>
      <c r="P234" t="str">
        <f>_xlfn.XLOOKUP(orders[[#This Row],[Customer ID]],customers!$A$2:$A$1001,customers!$I$2:$I$1001,,0)</f>
        <v>No</v>
      </c>
    </row>
    <row r="235" spans="1:16" x14ac:dyDescent="0.3">
      <c r="A235" s="2" t="s">
        <v>1806</v>
      </c>
      <c r="B235" s="6">
        <v>44278</v>
      </c>
      <c r="C235" s="2" t="s">
        <v>1807</v>
      </c>
      <c r="D235" t="s">
        <v>6156</v>
      </c>
      <c r="E235" s="2">
        <v>5</v>
      </c>
      <c r="F235" s="2" t="str">
        <f>_xlfn.XLOOKUP(C235,customers!$A$1:$A$1001,customers!$B$1:$B$1001,,0,1)</f>
        <v>Beryle Kenwell</v>
      </c>
      <c r="G235" s="2" t="str">
        <f>IF((_xlfn.XLOOKUP(C235,customers!$A$2:$A$1001,customers!$C$2:$C$1001,,,)=0),"",(_xlfn.XLOOKUP(C235,customers!$A$2:$A$1001,customers!$C$2:$C$1001,,0,)))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3"/>
        <v>20.625</v>
      </c>
      <c r="N235" t="str" cm="1">
        <f t="array" ref="N235">_xlfn.IFS(I235="rob","Robusta",I235="exc","Excesla",I235="ara","Arabica",I235="lib","Liberica")</f>
        <v>Excesla</v>
      </c>
      <c r="O235" t="str" cm="1">
        <f t="array" ref="O235">_xlfn.IFS(J235="m","Medium",J235="l","Light",J235="d","Dark")</f>
        <v>Medium</v>
      </c>
      <c r="P235" t="str">
        <f>_xlfn.XLOOKUP(orders[[#This Row],[Customer ID]],customers!$A$2:$A$1001,customers!$I$2:$I$1001,,0)</f>
        <v>No</v>
      </c>
    </row>
    <row r="236" spans="1:16" x14ac:dyDescent="0.3">
      <c r="A236" s="2" t="s">
        <v>1812</v>
      </c>
      <c r="B236" s="6">
        <v>44602</v>
      </c>
      <c r="C236" s="2" t="s">
        <v>1813</v>
      </c>
      <c r="D236" t="s">
        <v>6164</v>
      </c>
      <c r="E236" s="2">
        <v>1</v>
      </c>
      <c r="F236" s="2" t="str">
        <f>_xlfn.XLOOKUP(C236,customers!$A$1:$A$1001,customers!$B$1:$B$1001,,0,1)</f>
        <v>Tomas Sutty</v>
      </c>
      <c r="G236" s="2" t="str">
        <f>IF((_xlfn.XLOOKUP(C236,customers!$A$2:$A$1001,customers!$C$2:$C$1001,,,)=0),"",(_xlfn.XLOOKUP(C236,customers!$A$2:$A$1001,customers!$C$2:$C$1001,,0,)))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3"/>
        <v>36.454999999999998</v>
      </c>
      <c r="N236" t="str" cm="1">
        <f t="array" ref="N236">_xlfn.IFS(I236="rob","Robusta",I236="exc","Excesla",I236="ara","Arabica",I236="lib","Liberica")</f>
        <v>Liberica</v>
      </c>
      <c r="O236" t="str" cm="1">
        <f t="array" ref="O236">_xlfn.IFS(J236="m","Medium",J236="l","Light",J236="d","Dark")</f>
        <v>Light</v>
      </c>
      <c r="P236" t="str">
        <f>_xlfn.XLOOKUP(orders[[#This Row],[Customer ID]],customers!$A$2:$A$1001,customers!$I$2:$I$1001,,0)</f>
        <v>No</v>
      </c>
    </row>
    <row r="237" spans="1:16" x14ac:dyDescent="0.3">
      <c r="A237" s="2" t="s">
        <v>1818</v>
      </c>
      <c r="B237" s="6">
        <v>43571</v>
      </c>
      <c r="C237" s="2" t="s">
        <v>1819</v>
      </c>
      <c r="D237" t="s">
        <v>6164</v>
      </c>
      <c r="E237" s="2">
        <v>5</v>
      </c>
      <c r="F237" s="2" t="str">
        <f>_xlfn.XLOOKUP(C237,customers!$A$1:$A$1001,customers!$B$1:$B$1001,,0,1)</f>
        <v>Samuele Ales0</v>
      </c>
      <c r="G237" s="2" t="str">
        <f>IF((_xlfn.XLOOKUP(C237,customers!$A$2:$A$1001,customers!$C$2:$C$1001,,,)=0),"",(_xlfn.XLOOKUP(C237,customers!$A$2:$A$1001,customers!$C$2:$C$1001,,0,)))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3"/>
        <v>182.27499999999998</v>
      </c>
      <c r="N237" t="str" cm="1">
        <f t="array" ref="N237">_xlfn.IFS(I237="rob","Robusta",I237="exc","Excesla",I237="ara","Arabica",I237="lib","Liberica")</f>
        <v>Liberica</v>
      </c>
      <c r="O237" t="str" cm="1">
        <f t="array" ref="O237">_xlfn.IFS(J237="m","Medium",J237="l","Light",J237="d","Dark")</f>
        <v>Light</v>
      </c>
      <c r="P237" t="str">
        <f>_xlfn.XLOOKUP(orders[[#This Row],[Customer ID]],customers!$A$2:$A$1001,customers!$I$2:$I$1001,,0)</f>
        <v>No</v>
      </c>
    </row>
    <row r="238" spans="1:16" x14ac:dyDescent="0.3">
      <c r="A238" s="2" t="s">
        <v>1822</v>
      </c>
      <c r="B238" s="6">
        <v>43873</v>
      </c>
      <c r="C238" s="2" t="s">
        <v>1823</v>
      </c>
      <c r="D238" t="s">
        <v>6165</v>
      </c>
      <c r="E238" s="2">
        <v>3</v>
      </c>
      <c r="F238" s="2" t="str">
        <f>_xlfn.XLOOKUP(C238,customers!$A$1:$A$1001,customers!$B$1:$B$1001,,0,1)</f>
        <v>Carlie Harce</v>
      </c>
      <c r="G238" s="2" t="str">
        <f>IF((_xlfn.XLOOKUP(C238,customers!$A$2:$A$1001,customers!$C$2:$C$1001,,,)=0),"",(_xlfn.XLOOKUP(C238,customers!$A$2:$A$1001,customers!$C$2:$C$1001,,0,)))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3"/>
        <v>89.35499999999999</v>
      </c>
      <c r="N238" t="str" cm="1">
        <f t="array" ref="N238">_xlfn.IFS(I238="rob","Robusta",I238="exc","Excesla",I238="ara","Arabica",I238="lib","Liberica")</f>
        <v>Liberica</v>
      </c>
      <c r="O238" t="str" cm="1">
        <f t="array" ref="O238">_xlfn.IFS(J238="m","Medium",J238="l","Light",J238="d","Dark")</f>
        <v>Dark</v>
      </c>
      <c r="P238" t="str">
        <f>_xlfn.XLOOKUP(orders[[#This Row],[Customer ID]],customers!$A$2:$A$1001,customers!$I$2:$I$1001,,0)</f>
        <v>No</v>
      </c>
    </row>
    <row r="239" spans="1:16" x14ac:dyDescent="0.3">
      <c r="A239" s="2" t="s">
        <v>1828</v>
      </c>
      <c r="B239" s="6">
        <v>44563</v>
      </c>
      <c r="C239" s="2" t="s">
        <v>1829</v>
      </c>
      <c r="D239" t="s">
        <v>6178</v>
      </c>
      <c r="E239" s="2">
        <v>1</v>
      </c>
      <c r="F239" s="2" t="str">
        <f>_xlfn.XLOOKUP(C239,customers!$A$1:$A$1001,customers!$B$1:$B$1001,,0,1)</f>
        <v>Craggy Bril</v>
      </c>
      <c r="G239" s="2" t="str">
        <f>IF((_xlfn.XLOOKUP(C239,customers!$A$2:$A$1001,customers!$C$2:$C$1001,,,)=0),"",(_xlfn.XLOOKUP(C239,customers!$A$2:$A$1001,customers!$C$2:$C$1001,,0,)))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3"/>
        <v>3.5849999999999995</v>
      </c>
      <c r="N239" t="str" cm="1">
        <f t="array" ref="N239">_xlfn.IFS(I239="rob","Robusta",I239="exc","Excesla",I239="ara","Arabica",I239="lib","Liberica")</f>
        <v>Robusta</v>
      </c>
      <c r="O239" t="str" cm="1">
        <f t="array" ref="O239">_xlfn.IFS(J239="m","Medium",J239="l","Light",J239="d","Dark")</f>
        <v>Light</v>
      </c>
      <c r="P239" t="str">
        <f>_xlfn.XLOOKUP(orders[[#This Row],[Customer ID]],customers!$A$2:$A$1001,customers!$I$2:$I$1001,,0)</f>
        <v>Yes</v>
      </c>
    </row>
    <row r="240" spans="1:16" x14ac:dyDescent="0.3">
      <c r="A240" s="2" t="s">
        <v>1833</v>
      </c>
      <c r="B240" s="6">
        <v>44172</v>
      </c>
      <c r="C240" s="2" t="s">
        <v>1834</v>
      </c>
      <c r="D240" t="s">
        <v>6151</v>
      </c>
      <c r="E240" s="2">
        <v>2</v>
      </c>
      <c r="F240" s="2" t="str">
        <f>_xlfn.XLOOKUP(C240,customers!$A$1:$A$1001,customers!$B$1:$B$1001,,0,1)</f>
        <v>Friederike Drysdale</v>
      </c>
      <c r="G240" s="2" t="str">
        <f>IF((_xlfn.XLOOKUP(C240,customers!$A$2:$A$1001,customers!$C$2:$C$1001,,,)=0),"",(_xlfn.XLOOKUP(C240,customers!$A$2:$A$1001,customers!$C$2:$C$1001,,0,)))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3"/>
        <v>45.769999999999996</v>
      </c>
      <c r="N240" t="str" cm="1">
        <f t="array" ref="N240">_xlfn.IFS(I240="rob","Robusta",I240="exc","Excesla",I240="ara","Arabica",I240="lib","Liberica")</f>
        <v>Robusta</v>
      </c>
      <c r="O240" t="str" cm="1">
        <f t="array" ref="O240">_xlfn.IFS(J240="m","Medium",J240="l","Light",J240="d","Dark")</f>
        <v>Medium</v>
      </c>
      <c r="P240" t="str">
        <f>_xlfn.XLOOKUP(orders[[#This Row],[Customer ID]],customers!$A$2:$A$1001,customers!$I$2:$I$1001,,0)</f>
        <v>Yes</v>
      </c>
    </row>
    <row r="241" spans="1:16" x14ac:dyDescent="0.3">
      <c r="A241" s="2" t="s">
        <v>1839</v>
      </c>
      <c r="B241" s="6">
        <v>43881</v>
      </c>
      <c r="C241" s="2" t="s">
        <v>1840</v>
      </c>
      <c r="D241" t="s">
        <v>6171</v>
      </c>
      <c r="E241" s="2">
        <v>4</v>
      </c>
      <c r="F241" s="2" t="str">
        <f>_xlfn.XLOOKUP(C241,customers!$A$1:$A$1001,customers!$B$1:$B$1001,,0,1)</f>
        <v>Devon Magowan</v>
      </c>
      <c r="G241" s="2" t="str">
        <f>IF((_xlfn.XLOOKUP(C241,customers!$A$2:$A$1001,customers!$C$2:$C$1001,,,)=0),"",(_xlfn.XLOOKUP(C241,customers!$A$2:$A$1001,customers!$C$2:$C$1001,,0,)))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3"/>
        <v>59.4</v>
      </c>
      <c r="N241" t="str" cm="1">
        <f t="array" ref="N241">_xlfn.IFS(I241="rob","Robusta",I241="exc","Excesla",I241="ara","Arabica",I241="lib","Liberica")</f>
        <v>Excesla</v>
      </c>
      <c r="O241" t="str" cm="1">
        <f t="array" ref="O241">_xlfn.IFS(J241="m","Medium",J241="l","Light",J241="d","Dark")</f>
        <v>Light</v>
      </c>
      <c r="P241" t="str">
        <f>_xlfn.XLOOKUP(orders[[#This Row],[Customer ID]],customers!$A$2:$A$1001,customers!$I$2:$I$1001,,0)</f>
        <v>No</v>
      </c>
    </row>
    <row r="242" spans="1:16" x14ac:dyDescent="0.3">
      <c r="A242" s="2" t="s">
        <v>1845</v>
      </c>
      <c r="B242" s="6">
        <v>43993</v>
      </c>
      <c r="C242" s="2" t="s">
        <v>1846</v>
      </c>
      <c r="D242" t="s">
        <v>6175</v>
      </c>
      <c r="E242" s="2">
        <v>6</v>
      </c>
      <c r="F242" s="2" t="str">
        <f>_xlfn.XLOOKUP(C242,customers!$A$1:$A$1001,customers!$B$1:$B$1001,,0,1)</f>
        <v>Codi Littrell</v>
      </c>
      <c r="G242" s="2" t="str">
        <f>IF((_xlfn.XLOOKUP(C242,customers!$A$2:$A$1001,customers!$C$2:$C$1001,,,)=0),"",(_xlfn.XLOOKUP(C242,customers!$A$2:$A$1001,customers!$C$2:$C$1001,,0,)))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3"/>
        <v>155.24999999999997</v>
      </c>
      <c r="N242" t="str" cm="1">
        <f t="array" ref="N242">_xlfn.IFS(I242="rob","Robusta",I242="exc","Excesla",I242="ara","Arabica",I242="lib","Liberica")</f>
        <v>Arabica</v>
      </c>
      <c r="O242" t="str" cm="1">
        <f t="array" ref="O242">_xlfn.IFS(J242="m","Medium",J242="l","Light",J242="d","Dark")</f>
        <v>Medium</v>
      </c>
      <c r="P242" t="str">
        <f>_xlfn.XLOOKUP(orders[[#This Row],[Customer ID]],customers!$A$2:$A$1001,customers!$I$2:$I$1001,,0)</f>
        <v>Yes</v>
      </c>
    </row>
    <row r="243" spans="1:16" x14ac:dyDescent="0.3">
      <c r="A243" s="2" t="s">
        <v>1849</v>
      </c>
      <c r="B243" s="6">
        <v>44082</v>
      </c>
      <c r="C243" s="2" t="s">
        <v>1850</v>
      </c>
      <c r="D243" t="s">
        <v>6151</v>
      </c>
      <c r="E243" s="2">
        <v>2</v>
      </c>
      <c r="F243" s="2" t="str">
        <f>_xlfn.XLOOKUP(C243,customers!$A$1:$A$1001,customers!$B$1:$B$1001,,0,1)</f>
        <v>Christel Speak</v>
      </c>
      <c r="G243" s="2" t="str">
        <f>IF((_xlfn.XLOOKUP(C243,customers!$A$2:$A$1001,customers!$C$2:$C$1001,,,)=0),"",(_xlfn.XLOOKUP(C243,customers!$A$2:$A$1001,customers!$C$2:$C$1001,,0,)))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3"/>
        <v>45.769999999999996</v>
      </c>
      <c r="N243" t="str" cm="1">
        <f t="array" ref="N243">_xlfn.IFS(I243="rob","Robusta",I243="exc","Excesla",I243="ara","Arabica",I243="lib","Liberica")</f>
        <v>Robusta</v>
      </c>
      <c r="O243" t="str" cm="1">
        <f t="array" ref="O243">_xlfn.IFS(J243="m","Medium",J243="l","Light",J243="d","Dark")</f>
        <v>Medium</v>
      </c>
      <c r="P243" t="str">
        <f>_xlfn.XLOOKUP(orders[[#This Row],[Customer ID]],customers!$A$2:$A$1001,customers!$I$2:$I$1001,,0)</f>
        <v>No</v>
      </c>
    </row>
    <row r="244" spans="1:16" x14ac:dyDescent="0.3">
      <c r="A244" s="2" t="s">
        <v>1854</v>
      </c>
      <c r="B244" s="6">
        <v>43918</v>
      </c>
      <c r="C244" s="2" t="s">
        <v>1855</v>
      </c>
      <c r="D244" t="s">
        <v>6183</v>
      </c>
      <c r="E244" s="2">
        <v>3</v>
      </c>
      <c r="F244" s="2" t="str">
        <f>_xlfn.XLOOKUP(C244,customers!$A$1:$A$1001,customers!$B$1:$B$1001,,0,1)</f>
        <v>Sibella Rushbrooke</v>
      </c>
      <c r="G244" s="2" t="str">
        <f>IF((_xlfn.XLOOKUP(C244,customers!$A$2:$A$1001,customers!$C$2:$C$1001,,,)=0),"",(_xlfn.XLOOKUP(C244,customers!$A$2:$A$1001,customers!$C$2:$C$1001,,0,)))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3"/>
        <v>36.450000000000003</v>
      </c>
      <c r="N244" t="str" cm="1">
        <f t="array" ref="N244">_xlfn.IFS(I244="rob","Robusta",I244="exc","Excesla",I244="ara","Arabica",I244="lib","Liberica")</f>
        <v>Excesla</v>
      </c>
      <c r="O244" t="str" cm="1">
        <f t="array" ref="O244">_xlfn.IFS(J244="m","Medium",J244="l","Light",J244="d","Dark")</f>
        <v>Dark</v>
      </c>
      <c r="P244" t="str">
        <f>_xlfn.XLOOKUP(orders[[#This Row],[Customer ID]],customers!$A$2:$A$1001,customers!$I$2:$I$1001,,0)</f>
        <v>Yes</v>
      </c>
    </row>
    <row r="245" spans="1:16" x14ac:dyDescent="0.3">
      <c r="A245" s="2" t="s">
        <v>1860</v>
      </c>
      <c r="B245" s="6">
        <v>44114</v>
      </c>
      <c r="C245" s="2" t="s">
        <v>1861</v>
      </c>
      <c r="D245" t="s">
        <v>6144</v>
      </c>
      <c r="E245" s="2">
        <v>4</v>
      </c>
      <c r="F245" s="2" t="str">
        <f>_xlfn.XLOOKUP(C245,customers!$A$1:$A$1001,customers!$B$1:$B$1001,,0,1)</f>
        <v>Tammie Drynan</v>
      </c>
      <c r="G245" s="2" t="str">
        <f>IF((_xlfn.XLOOKUP(C245,customers!$A$2:$A$1001,customers!$C$2:$C$1001,,,)=0),"",(_xlfn.XLOOKUP(C245,customers!$A$2:$A$1001,customers!$C$2:$C$1001,,0,)))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3"/>
        <v>29.16</v>
      </c>
      <c r="N245" t="str" cm="1">
        <f t="array" ref="N245">_xlfn.IFS(I245="rob","Robusta",I245="exc","Excesla",I245="ara","Arabica",I245="lib","Liberica")</f>
        <v>Excesla</v>
      </c>
      <c r="O245" t="str" cm="1">
        <f t="array" ref="O245">_xlfn.IFS(J245="m","Medium",J245="l","Light",J245="d","Dark")</f>
        <v>Dark</v>
      </c>
      <c r="P245" t="str">
        <f>_xlfn.XLOOKUP(orders[[#This Row],[Customer ID]],customers!$A$2:$A$1001,customers!$I$2:$I$1001,,0)</f>
        <v>Yes</v>
      </c>
    </row>
    <row r="246" spans="1:16" x14ac:dyDescent="0.3">
      <c r="A246" s="2" t="s">
        <v>1866</v>
      </c>
      <c r="B246" s="6">
        <v>44702</v>
      </c>
      <c r="C246" s="2" t="s">
        <v>1867</v>
      </c>
      <c r="D246" t="s">
        <v>6181</v>
      </c>
      <c r="E246" s="2">
        <v>4</v>
      </c>
      <c r="F246" s="2" t="str">
        <f>_xlfn.XLOOKUP(C246,customers!$A$1:$A$1001,customers!$B$1:$B$1001,,0,1)</f>
        <v>Effie Yurkov</v>
      </c>
      <c r="G246" s="2" t="str">
        <f>IF((_xlfn.XLOOKUP(C246,customers!$A$2:$A$1001,customers!$C$2:$C$1001,,,)=0),"",(_xlfn.XLOOKUP(C246,customers!$A$2:$A$1001,customers!$C$2:$C$1001,,0,)))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3"/>
        <v>133.85999999999999</v>
      </c>
      <c r="N246" t="str" cm="1">
        <f t="array" ref="N246">_xlfn.IFS(I246="rob","Robusta",I246="exc","Excesla",I246="ara","Arabica",I246="lib","Liberica")</f>
        <v>Liberica</v>
      </c>
      <c r="O246" t="str" cm="1">
        <f t="array" ref="O246">_xlfn.IFS(J246="m","Medium",J246="l","Light",J246="d","Dark")</f>
        <v>Medium</v>
      </c>
      <c r="P246" t="str">
        <f>_xlfn.XLOOKUP(orders[[#This Row],[Customer ID]],customers!$A$2:$A$1001,customers!$I$2:$I$1001,,0)</f>
        <v>No</v>
      </c>
    </row>
    <row r="247" spans="1:16" x14ac:dyDescent="0.3">
      <c r="A247" s="2" t="s">
        <v>1872</v>
      </c>
      <c r="B247" s="6">
        <v>43951</v>
      </c>
      <c r="C247" s="2" t="s">
        <v>1873</v>
      </c>
      <c r="D247" t="s">
        <v>6145</v>
      </c>
      <c r="E247" s="2">
        <v>5</v>
      </c>
      <c r="F247" s="2" t="str">
        <f>_xlfn.XLOOKUP(C247,customers!$A$1:$A$1001,customers!$B$1:$B$1001,,0,1)</f>
        <v>Lexie Mallan</v>
      </c>
      <c r="G247" s="2" t="str">
        <f>IF((_xlfn.XLOOKUP(C247,customers!$A$2:$A$1001,customers!$C$2:$C$1001,,,)=0),"",(_xlfn.XLOOKUP(C247,customers!$A$2:$A$1001,customers!$C$2:$C$1001,,0,)))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3"/>
        <v>23.774999999999999</v>
      </c>
      <c r="N247" t="str" cm="1">
        <f t="array" ref="N247">_xlfn.IFS(I247="rob","Robusta",I247="exc","Excesla",I247="ara","Arabica",I247="lib","Liberica")</f>
        <v>Liberica</v>
      </c>
      <c r="O247" t="str" cm="1">
        <f t="array" ref="O247">_xlfn.IFS(J247="m","Medium",J247="l","Light",J247="d","Dark")</f>
        <v>Light</v>
      </c>
      <c r="P247" t="str">
        <f>_xlfn.XLOOKUP(orders[[#This Row],[Customer ID]],customers!$A$2:$A$1001,customers!$I$2:$I$1001,,0)</f>
        <v>Yes</v>
      </c>
    </row>
    <row r="248" spans="1:16" x14ac:dyDescent="0.3">
      <c r="A248" s="2" t="s">
        <v>1878</v>
      </c>
      <c r="B248" s="6">
        <v>44542</v>
      </c>
      <c r="C248" s="2" t="s">
        <v>1879</v>
      </c>
      <c r="D248" t="s">
        <v>6143</v>
      </c>
      <c r="E248" s="2">
        <v>3</v>
      </c>
      <c r="F248" s="2" t="str">
        <f>_xlfn.XLOOKUP(C248,customers!$A$1:$A$1001,customers!$B$1:$B$1001,,0,1)</f>
        <v>Georgena Bentjens</v>
      </c>
      <c r="G248" s="2" t="str">
        <f>IF((_xlfn.XLOOKUP(C248,customers!$A$2:$A$1001,customers!$C$2:$C$1001,,,)=0),"",(_xlfn.XLOOKUP(C248,customers!$A$2:$A$1001,customers!$C$2:$C$1001,,0,)))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3"/>
        <v>38.849999999999994</v>
      </c>
      <c r="N248" t="str" cm="1">
        <f t="array" ref="N248">_xlfn.IFS(I248="rob","Robusta",I248="exc","Excesla",I248="ara","Arabica",I248="lib","Liberica")</f>
        <v>Liberica</v>
      </c>
      <c r="O248" t="str" cm="1">
        <f t="array" ref="O248">_xlfn.IFS(J248="m","Medium",J248="l","Light",J248="d","Dark")</f>
        <v>Dark</v>
      </c>
      <c r="P248" t="str">
        <f>_xlfn.XLOOKUP(orders[[#This Row],[Customer ID]],customers!$A$2:$A$1001,customers!$I$2:$I$1001,,0)</f>
        <v>No</v>
      </c>
    </row>
    <row r="249" spans="1:16" x14ac:dyDescent="0.3">
      <c r="A249" s="2" t="s">
        <v>1884</v>
      </c>
      <c r="B249" s="6">
        <v>44131</v>
      </c>
      <c r="C249" s="2" t="s">
        <v>1885</v>
      </c>
      <c r="D249" t="s">
        <v>6178</v>
      </c>
      <c r="E249" s="2">
        <v>6</v>
      </c>
      <c r="F249" s="2" t="str">
        <f>_xlfn.XLOOKUP(C249,customers!$A$1:$A$1001,customers!$B$1:$B$1001,,0,1)</f>
        <v>Delmar Beasant</v>
      </c>
      <c r="G249" s="2" t="str">
        <f>IF((_xlfn.XLOOKUP(C249,customers!$A$2:$A$1001,customers!$C$2:$C$1001,,,)=0),"",(_xlfn.XLOOKUP(C249,customers!$A$2:$A$1001,customers!$C$2:$C$1001,,0,)))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3"/>
        <v>21.509999999999998</v>
      </c>
      <c r="N249" t="str" cm="1">
        <f t="array" ref="N249">_xlfn.IFS(I249="rob","Robusta",I249="exc","Excesla",I249="ara","Arabica",I249="lib","Liberica")</f>
        <v>Robusta</v>
      </c>
      <c r="O249" t="str" cm="1">
        <f t="array" ref="O249">_xlfn.IFS(J249="m","Medium",J249="l","Light",J249="d","Dark")</f>
        <v>Light</v>
      </c>
      <c r="P249" t="str">
        <f>_xlfn.XLOOKUP(orders[[#This Row],[Customer ID]],customers!$A$2:$A$1001,customers!$I$2:$I$1001,,0)</f>
        <v>Yes</v>
      </c>
    </row>
    <row r="250" spans="1:16" x14ac:dyDescent="0.3">
      <c r="A250" s="2" t="s">
        <v>1889</v>
      </c>
      <c r="B250" s="6">
        <v>44019</v>
      </c>
      <c r="C250" s="2" t="s">
        <v>1890</v>
      </c>
      <c r="D250" t="s">
        <v>6147</v>
      </c>
      <c r="E250" s="2">
        <v>1</v>
      </c>
      <c r="F250" s="2" t="str">
        <f>_xlfn.XLOOKUP(C250,customers!$A$1:$A$1001,customers!$B$1:$B$1001,,0,1)</f>
        <v>Lyn Entwistle</v>
      </c>
      <c r="G250" s="2" t="str">
        <f>IF((_xlfn.XLOOKUP(C250,customers!$A$2:$A$1001,customers!$C$2:$C$1001,,,)=0),"",(_xlfn.XLOOKUP(C250,customers!$A$2:$A$1001,customers!$C$2:$C$1001,,0,)))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3"/>
        <v>9.9499999999999993</v>
      </c>
      <c r="N250" t="str" cm="1">
        <f t="array" ref="N250">_xlfn.IFS(I250="rob","Robusta",I250="exc","Excesla",I250="ara","Arabica",I250="lib","Liberica")</f>
        <v>Arabica</v>
      </c>
      <c r="O250" t="str" cm="1">
        <f t="array" ref="O250">_xlfn.IFS(J250="m","Medium",J250="l","Light",J250="d","Dark")</f>
        <v>Dark</v>
      </c>
      <c r="P250" t="str">
        <f>_xlfn.XLOOKUP(orders[[#This Row],[Customer ID]],customers!$A$2:$A$1001,customers!$I$2:$I$1001,,0)</f>
        <v>Yes</v>
      </c>
    </row>
    <row r="251" spans="1:16" x14ac:dyDescent="0.3">
      <c r="A251" s="2" t="s">
        <v>1895</v>
      </c>
      <c r="B251" s="6">
        <v>43861</v>
      </c>
      <c r="C251" s="2" t="s">
        <v>1935</v>
      </c>
      <c r="D251" t="s">
        <v>6170</v>
      </c>
      <c r="E251" s="2">
        <v>1</v>
      </c>
      <c r="F251" s="2" t="str">
        <f>_xlfn.XLOOKUP(C251,customers!$A$1:$A$1001,customers!$B$1:$B$1001,,0,1)</f>
        <v>Zacharias Kiffe</v>
      </c>
      <c r="G251" s="2" t="str">
        <f>IF((_xlfn.XLOOKUP(C251,customers!$A$2:$A$1001,customers!$C$2:$C$1001,,,)=0),"",(_xlfn.XLOOKUP(C251,customers!$A$2:$A$1001,customers!$C$2:$C$1001,,0,)))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3"/>
        <v>15.85</v>
      </c>
      <c r="N251" t="str" cm="1">
        <f t="array" ref="N251">_xlfn.IFS(I251="rob","Robusta",I251="exc","Excesla",I251="ara","Arabica",I251="lib","Liberica")</f>
        <v>Liberica</v>
      </c>
      <c r="O251" t="str" cm="1">
        <f t="array" ref="O251">_xlfn.IFS(J251="m","Medium",J251="l","Light",J251="d","Dark")</f>
        <v>Light</v>
      </c>
      <c r="P251" t="str">
        <f>_xlfn.XLOOKUP(orders[[#This Row],[Customer ID]],customers!$A$2:$A$1001,customers!$I$2:$I$1001,,0)</f>
        <v>Yes</v>
      </c>
    </row>
    <row r="252" spans="1:16" x14ac:dyDescent="0.3">
      <c r="A252" s="2" t="s">
        <v>1900</v>
      </c>
      <c r="B252" s="6">
        <v>43879</v>
      </c>
      <c r="C252" s="2" t="s">
        <v>1901</v>
      </c>
      <c r="D252" t="s">
        <v>6174</v>
      </c>
      <c r="E252" s="2">
        <v>1</v>
      </c>
      <c r="F252" s="2" t="str">
        <f>_xlfn.XLOOKUP(C252,customers!$A$1:$A$1001,customers!$B$1:$B$1001,,0,1)</f>
        <v>Mercedes Acott</v>
      </c>
      <c r="G252" s="2" t="str">
        <f>IF((_xlfn.XLOOKUP(C252,customers!$A$2:$A$1001,customers!$C$2:$C$1001,,,)=0),"",(_xlfn.XLOOKUP(C252,customers!$A$2:$A$1001,customers!$C$2:$C$1001,,0,)))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3"/>
        <v>2.9849999999999999</v>
      </c>
      <c r="N252" t="str" cm="1">
        <f t="array" ref="N252">_xlfn.IFS(I252="rob","Robusta",I252="exc","Excesla",I252="ara","Arabica",I252="lib","Liberica")</f>
        <v>Robusta</v>
      </c>
      <c r="O252" t="str" cm="1">
        <f t="array" ref="O252">_xlfn.IFS(J252="m","Medium",J252="l","Light",J252="d","Dark")</f>
        <v>Medium</v>
      </c>
      <c r="P252" t="str">
        <f>_xlfn.XLOOKUP(orders[[#This Row],[Customer ID]],customers!$A$2:$A$1001,customers!$I$2:$I$1001,,0)</f>
        <v>Yes</v>
      </c>
    </row>
    <row r="253" spans="1:16" x14ac:dyDescent="0.3">
      <c r="A253" s="2" t="s">
        <v>1906</v>
      </c>
      <c r="B253" s="6">
        <v>44360</v>
      </c>
      <c r="C253" s="2" t="s">
        <v>1907</v>
      </c>
      <c r="D253" t="s">
        <v>6141</v>
      </c>
      <c r="E253" s="2">
        <v>5</v>
      </c>
      <c r="F253" s="2" t="str">
        <f>_xlfn.XLOOKUP(C253,customers!$A$1:$A$1001,customers!$B$1:$B$1001,,0,1)</f>
        <v>Connor Heaviside</v>
      </c>
      <c r="G253" s="2" t="str">
        <f>IF((_xlfn.XLOOKUP(C253,customers!$A$2:$A$1001,customers!$C$2:$C$1001,,,)=0),"",(_xlfn.XLOOKUP(C253,customers!$A$2:$A$1001,customers!$C$2:$C$1001,,0,)))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3"/>
        <v>68.75</v>
      </c>
      <c r="N253" t="str" cm="1">
        <f t="array" ref="N253">_xlfn.IFS(I253="rob","Robusta",I253="exc","Excesla",I253="ara","Arabica",I253="lib","Liberica")</f>
        <v>Excesla</v>
      </c>
      <c r="O253" t="str" cm="1">
        <f t="array" ref="O253">_xlfn.IFS(J253="m","Medium",J253="l","Light",J253="d","Dark")</f>
        <v>Medium</v>
      </c>
      <c r="P253" t="str">
        <f>_xlfn.XLOOKUP(orders[[#This Row],[Customer ID]],customers!$A$2:$A$1001,customers!$I$2:$I$1001,,0)</f>
        <v>Yes</v>
      </c>
    </row>
    <row r="254" spans="1:16" x14ac:dyDescent="0.3">
      <c r="A254" s="2" t="s">
        <v>1912</v>
      </c>
      <c r="B254" s="6">
        <v>44779</v>
      </c>
      <c r="C254" s="2" t="s">
        <v>1913</v>
      </c>
      <c r="D254" t="s">
        <v>6147</v>
      </c>
      <c r="E254" s="2">
        <v>3</v>
      </c>
      <c r="F254" s="2" t="str">
        <f>_xlfn.XLOOKUP(C254,customers!$A$1:$A$1001,customers!$B$1:$B$1001,,0,1)</f>
        <v>Devy Bulbrook</v>
      </c>
      <c r="G254" s="2" t="str">
        <f>IF((_xlfn.XLOOKUP(C254,customers!$A$2:$A$1001,customers!$C$2:$C$1001,,,)=0),"",(_xlfn.XLOOKUP(C254,customers!$A$2:$A$1001,customers!$C$2:$C$1001,,0,)))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3"/>
        <v>29.849999999999998</v>
      </c>
      <c r="N254" t="str" cm="1">
        <f t="array" ref="N254">_xlfn.IFS(I254="rob","Robusta",I254="exc","Excesla",I254="ara","Arabica",I254="lib","Liberica")</f>
        <v>Arabica</v>
      </c>
      <c r="O254" t="str" cm="1">
        <f t="array" ref="O254">_xlfn.IFS(J254="m","Medium",J254="l","Light",J254="d","Dark")</f>
        <v>Dark</v>
      </c>
      <c r="P254" t="str">
        <f>_xlfn.XLOOKUP(orders[[#This Row],[Customer ID]],customers!$A$2:$A$1001,customers!$I$2:$I$1001,,0)</f>
        <v>No</v>
      </c>
    </row>
    <row r="255" spans="1:16" x14ac:dyDescent="0.3">
      <c r="A255" s="2" t="s">
        <v>1917</v>
      </c>
      <c r="B255" s="6">
        <v>44523</v>
      </c>
      <c r="C255" s="2" t="s">
        <v>1918</v>
      </c>
      <c r="D255" t="s">
        <v>6162</v>
      </c>
      <c r="E255" s="2">
        <v>4</v>
      </c>
      <c r="F255" s="2" t="str">
        <f>_xlfn.XLOOKUP(C255,customers!$A$1:$A$1001,customers!$B$1:$B$1001,,0,1)</f>
        <v>Leia Kernan</v>
      </c>
      <c r="G255" s="2" t="str">
        <f>IF((_xlfn.XLOOKUP(C255,customers!$A$2:$A$1001,customers!$C$2:$C$1001,,,)=0),"",(_xlfn.XLOOKUP(C255,customers!$A$2:$A$1001,customers!$C$2:$C$1001,,0,)))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3"/>
        <v>58.2</v>
      </c>
      <c r="N255" t="str" cm="1">
        <f t="array" ref="N255">_xlfn.IFS(I255="rob","Robusta",I255="exc","Excesla",I255="ara","Arabica",I255="lib","Liberica")</f>
        <v>Liberica</v>
      </c>
      <c r="O255" t="str" cm="1">
        <f t="array" ref="O255">_xlfn.IFS(J255="m","Medium",J255="l","Light",J255="d","Dark")</f>
        <v>Medium</v>
      </c>
      <c r="P255" t="str">
        <f>_xlfn.XLOOKUP(orders[[#This Row],[Customer ID]],customers!$A$2:$A$1001,customers!$I$2:$I$1001,,0)</f>
        <v>No</v>
      </c>
    </row>
    <row r="256" spans="1:16" x14ac:dyDescent="0.3">
      <c r="A256" s="2" t="s">
        <v>1923</v>
      </c>
      <c r="B256" s="6">
        <v>44482</v>
      </c>
      <c r="C256" s="2" t="s">
        <v>1924</v>
      </c>
      <c r="D256" t="s">
        <v>6173</v>
      </c>
      <c r="E256" s="2">
        <v>4</v>
      </c>
      <c r="F256" s="2" t="str">
        <f>_xlfn.XLOOKUP(C256,customers!$A$1:$A$1001,customers!$B$1:$B$1001,,0,1)</f>
        <v>Rosaline McLae</v>
      </c>
      <c r="G256" s="2" t="str">
        <f>IF((_xlfn.XLOOKUP(C256,customers!$A$2:$A$1001,customers!$C$2:$C$1001,,,)=0),"",(_xlfn.XLOOKUP(C256,customers!$A$2:$A$1001,customers!$C$2:$C$1001,,0,)))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3"/>
        <v>28.679999999999996</v>
      </c>
      <c r="N256" t="str" cm="1">
        <f t="array" ref="N256">_xlfn.IFS(I256="rob","Robusta",I256="exc","Excesla",I256="ara","Arabica",I256="lib","Liberica")</f>
        <v>Robusta</v>
      </c>
      <c r="O256" t="str" cm="1">
        <f t="array" ref="O256">_xlfn.IFS(J256="m","Medium",J256="l","Light",J256="d","Dark")</f>
        <v>Light</v>
      </c>
      <c r="P256" t="str">
        <f>_xlfn.XLOOKUP(orders[[#This Row],[Customer ID]],customers!$A$2:$A$1001,customers!$I$2:$I$1001,,0)</f>
        <v>No</v>
      </c>
    </row>
    <row r="257" spans="1:16" x14ac:dyDescent="0.3">
      <c r="A257" s="2" t="s">
        <v>1928</v>
      </c>
      <c r="B257" s="6">
        <v>44439</v>
      </c>
      <c r="C257" s="2" t="s">
        <v>1929</v>
      </c>
      <c r="D257" t="s">
        <v>6173</v>
      </c>
      <c r="E257" s="2">
        <v>3</v>
      </c>
      <c r="F257" s="2" t="str">
        <f>_xlfn.XLOOKUP(C257,customers!$A$1:$A$1001,customers!$B$1:$B$1001,,0,1)</f>
        <v>Cleve Blowfelde</v>
      </c>
      <c r="G257" s="2" t="str">
        <f>IF((_xlfn.XLOOKUP(C257,customers!$A$2:$A$1001,customers!$C$2:$C$1001,,,)=0),"",(_xlfn.XLOOKUP(C257,customers!$A$2:$A$1001,customers!$C$2:$C$1001,,0,)))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3"/>
        <v>21.509999999999998</v>
      </c>
      <c r="N257" t="str" cm="1">
        <f t="array" ref="N257">_xlfn.IFS(I257="rob","Robusta",I257="exc","Excesla",I257="ara","Arabica",I257="lib","Liberica")</f>
        <v>Robusta</v>
      </c>
      <c r="O257" t="str" cm="1">
        <f t="array" ref="O257">_xlfn.IFS(J257="m","Medium",J257="l","Light",J257="d","Dark")</f>
        <v>Light</v>
      </c>
      <c r="P257" t="str">
        <f>_xlfn.XLOOKUP(orders[[#This Row],[Customer ID]],customers!$A$2:$A$1001,customers!$I$2:$I$1001,,0)</f>
        <v>No</v>
      </c>
    </row>
    <row r="258" spans="1:16" x14ac:dyDescent="0.3">
      <c r="A258" s="2" t="s">
        <v>1934</v>
      </c>
      <c r="B258" s="6">
        <v>43846</v>
      </c>
      <c r="C258" s="2" t="s">
        <v>1935</v>
      </c>
      <c r="D258" t="s">
        <v>6160</v>
      </c>
      <c r="E258" s="2">
        <v>2</v>
      </c>
      <c r="F258" s="2" t="str">
        <f>_xlfn.XLOOKUP(C258,customers!$A$1:$A$1001,customers!$B$1:$B$1001,,0,1)</f>
        <v>Zacharias Kiffe</v>
      </c>
      <c r="G258" s="2" t="str">
        <f>IF((_xlfn.XLOOKUP(C258,customers!$A$2:$A$1001,customers!$C$2:$C$1001,,,)=0),"",(_xlfn.XLOOKUP(C258,customers!$A$2:$A$1001,customers!$C$2:$C$1001,,0,)))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3"/>
        <v>17.46</v>
      </c>
      <c r="N258" t="str" cm="1">
        <f t="array" ref="N258">_xlfn.IFS(I258="rob","Robusta",I258="exc","Excesla",I258="ara","Arabica",I258="lib","Liberica")</f>
        <v>Liberica</v>
      </c>
      <c r="O258" t="str" cm="1">
        <f t="array" ref="O258">_xlfn.IFS(J258="m","Medium",J258="l","Light",J258="d","Dark")</f>
        <v>Medium</v>
      </c>
      <c r="P258" t="str">
        <f>_xlfn.XLOOKUP(orders[[#This Row],[Customer ID]],customers!$A$2:$A$1001,customers!$I$2:$I$1001,,0)</f>
        <v>Yes</v>
      </c>
    </row>
    <row r="259" spans="1:16" x14ac:dyDescent="0.3">
      <c r="A259" s="2" t="s">
        <v>1940</v>
      </c>
      <c r="B259" s="6">
        <v>44676</v>
      </c>
      <c r="C259" s="2" t="s">
        <v>1941</v>
      </c>
      <c r="D259" t="s">
        <v>6185</v>
      </c>
      <c r="E259" s="2">
        <v>1</v>
      </c>
      <c r="F259" s="2" t="str">
        <f>_xlfn.XLOOKUP(C259,customers!$A$1:$A$1001,customers!$B$1:$B$1001,,0,1)</f>
        <v>Denyse O'Calleran</v>
      </c>
      <c r="G259" s="2" t="str">
        <f>IF((_xlfn.XLOOKUP(C259,customers!$A$2:$A$1001,customers!$C$2:$C$1001,,,)=0),"",(_xlfn.XLOOKUP(C259,customers!$A$2:$A$1001,customers!$C$2:$C$1001,,0,)))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4">L259*E259</f>
        <v>27.945</v>
      </c>
      <c r="N259" t="str" cm="1">
        <f t="array" ref="N259">_xlfn.IFS(I259="rob","Robusta",I259="exc","Excesla",I259="ara","Arabica",I259="lib","Liberica")</f>
        <v>Excesla</v>
      </c>
      <c r="O259" t="str" cm="1">
        <f t="array" ref="O259">_xlfn.IFS(J259="m","Medium",J259="l","Light",J259="d","Dark")</f>
        <v>Dark</v>
      </c>
      <c r="P259" t="str">
        <f>_xlfn.XLOOKUP(orders[[#This Row],[Customer ID]],customers!$A$2:$A$1001,customers!$I$2:$I$1001,,0)</f>
        <v>Yes</v>
      </c>
    </row>
    <row r="260" spans="1:16" x14ac:dyDescent="0.3">
      <c r="A260" s="2" t="s">
        <v>1946</v>
      </c>
      <c r="B260" s="6">
        <v>44513</v>
      </c>
      <c r="C260" s="2" t="s">
        <v>1947</v>
      </c>
      <c r="D260" t="s">
        <v>6185</v>
      </c>
      <c r="E260" s="2">
        <v>5</v>
      </c>
      <c r="F260" s="2" t="str">
        <f>_xlfn.XLOOKUP(C260,customers!$A$1:$A$1001,customers!$B$1:$B$1001,,0,1)</f>
        <v>Cobby Cromwell</v>
      </c>
      <c r="G260" s="2" t="str">
        <f>IF((_xlfn.XLOOKUP(C260,customers!$A$2:$A$1001,customers!$C$2:$C$1001,,,)=0),"",(_xlfn.XLOOKUP(C260,customers!$A$2:$A$1001,customers!$C$2:$C$1001,,0,)))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4"/>
        <v>139.72499999999999</v>
      </c>
      <c r="N260" t="str" cm="1">
        <f t="array" ref="N260">_xlfn.IFS(I260="rob","Robusta",I260="exc","Excesla",I260="ara","Arabica",I260="lib","Liberica")</f>
        <v>Excesla</v>
      </c>
      <c r="O260" t="str" cm="1">
        <f t="array" ref="O260">_xlfn.IFS(J260="m","Medium",J260="l","Light",J260="d","Dark")</f>
        <v>Dark</v>
      </c>
      <c r="P260" t="str">
        <f>_xlfn.XLOOKUP(orders[[#This Row],[Customer ID]],customers!$A$2:$A$1001,customers!$I$2:$I$1001,,0)</f>
        <v>No</v>
      </c>
    </row>
    <row r="261" spans="1:16" x14ac:dyDescent="0.3">
      <c r="A261" s="2" t="s">
        <v>1952</v>
      </c>
      <c r="B261" s="6">
        <v>44355</v>
      </c>
      <c r="C261" s="2" t="s">
        <v>1953</v>
      </c>
      <c r="D261" t="s">
        <v>6174</v>
      </c>
      <c r="E261" s="2">
        <v>2</v>
      </c>
      <c r="F261" s="2" t="str">
        <f>_xlfn.XLOOKUP(C261,customers!$A$1:$A$1001,customers!$B$1:$B$1001,,0,1)</f>
        <v>Irv Hay</v>
      </c>
      <c r="G261" s="2" t="str">
        <f>IF((_xlfn.XLOOKUP(C261,customers!$A$2:$A$1001,customers!$C$2:$C$1001,,,)=0),"",(_xlfn.XLOOKUP(C261,customers!$A$2:$A$1001,customers!$C$2:$C$1001,,0,)))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4"/>
        <v>5.97</v>
      </c>
      <c r="N261" t="str" cm="1">
        <f t="array" ref="N261">_xlfn.IFS(I261="rob","Robusta",I261="exc","Excesla",I261="ara","Arabica",I261="lib","Liberica")</f>
        <v>Robusta</v>
      </c>
      <c r="O261" t="str" cm="1">
        <f t="array" ref="O261">_xlfn.IFS(J261="m","Medium",J261="l","Light",J261="d","Dark")</f>
        <v>Medium</v>
      </c>
      <c r="P261" t="str">
        <f>_xlfn.XLOOKUP(orders[[#This Row],[Customer ID]],customers!$A$2:$A$1001,customers!$I$2:$I$1001,,0)</f>
        <v>No</v>
      </c>
    </row>
    <row r="262" spans="1:16" x14ac:dyDescent="0.3">
      <c r="A262" s="2" t="s">
        <v>1958</v>
      </c>
      <c r="B262" s="6">
        <v>44156</v>
      </c>
      <c r="C262" s="2" t="s">
        <v>1959</v>
      </c>
      <c r="D262" t="s">
        <v>6142</v>
      </c>
      <c r="E262" s="2">
        <v>1</v>
      </c>
      <c r="F262" s="2" t="str">
        <f>_xlfn.XLOOKUP(C262,customers!$A$1:$A$1001,customers!$B$1:$B$1001,,0,1)</f>
        <v>Tani Taffarello</v>
      </c>
      <c r="G262" s="2" t="str">
        <f>IF((_xlfn.XLOOKUP(C262,customers!$A$2:$A$1001,customers!$C$2:$C$1001,,,)=0),"",(_xlfn.XLOOKUP(C262,customers!$A$2:$A$1001,customers!$C$2:$C$1001,,0,)))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4"/>
        <v>27.484999999999996</v>
      </c>
      <c r="N262" t="str" cm="1">
        <f t="array" ref="N262">_xlfn.IFS(I262="rob","Robusta",I262="exc","Excesla",I262="ara","Arabica",I262="lib","Liberica")</f>
        <v>Robusta</v>
      </c>
      <c r="O262" t="str" cm="1">
        <f t="array" ref="O262">_xlfn.IFS(J262="m","Medium",J262="l","Light",J262="d","Dark")</f>
        <v>Light</v>
      </c>
      <c r="P262" t="str">
        <f>_xlfn.XLOOKUP(orders[[#This Row],[Customer ID]],customers!$A$2:$A$1001,customers!$I$2:$I$1001,,0)</f>
        <v>Yes</v>
      </c>
    </row>
    <row r="263" spans="1:16" x14ac:dyDescent="0.3">
      <c r="A263" s="2" t="s">
        <v>1963</v>
      </c>
      <c r="B263" s="6">
        <v>43538</v>
      </c>
      <c r="C263" s="2" t="s">
        <v>1964</v>
      </c>
      <c r="D263" t="s">
        <v>6179</v>
      </c>
      <c r="E263" s="2">
        <v>5</v>
      </c>
      <c r="F263" s="2" t="str">
        <f>_xlfn.XLOOKUP(C263,customers!$A$1:$A$1001,customers!$B$1:$B$1001,,0,1)</f>
        <v>Monique Canty</v>
      </c>
      <c r="G263" s="2" t="str">
        <f>IF((_xlfn.XLOOKUP(C263,customers!$A$2:$A$1001,customers!$C$2:$C$1001,,,)=0),"",(_xlfn.XLOOKUP(C263,customers!$A$2:$A$1001,customers!$C$2:$C$1001,,0,)))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4"/>
        <v>59.75</v>
      </c>
      <c r="N263" t="str" cm="1">
        <f t="array" ref="N263">_xlfn.IFS(I263="rob","Robusta",I263="exc","Excesla",I263="ara","Arabica",I263="lib","Liberica")</f>
        <v>Robusta</v>
      </c>
      <c r="O263" t="str" cm="1">
        <f t="array" ref="O263">_xlfn.IFS(J263="m","Medium",J263="l","Light",J263="d","Dark")</f>
        <v>Light</v>
      </c>
      <c r="P263" t="str">
        <f>_xlfn.XLOOKUP(orders[[#This Row],[Customer ID]],customers!$A$2:$A$1001,customers!$I$2:$I$1001,,0)</f>
        <v>Yes</v>
      </c>
    </row>
    <row r="264" spans="1:16" x14ac:dyDescent="0.3">
      <c r="A264" s="2" t="s">
        <v>1969</v>
      </c>
      <c r="B264" s="6">
        <v>43693</v>
      </c>
      <c r="C264" s="2" t="s">
        <v>1970</v>
      </c>
      <c r="D264" t="s">
        <v>6141</v>
      </c>
      <c r="E264" s="2">
        <v>3</v>
      </c>
      <c r="F264" s="2" t="str">
        <f>_xlfn.XLOOKUP(C264,customers!$A$1:$A$1001,customers!$B$1:$B$1001,,0,1)</f>
        <v>Javier Kopke</v>
      </c>
      <c r="G264" s="2" t="str">
        <f>IF((_xlfn.XLOOKUP(C264,customers!$A$2:$A$1001,customers!$C$2:$C$1001,,,)=0),"",(_xlfn.XLOOKUP(C264,customers!$A$2:$A$1001,customers!$C$2:$C$1001,,0,)))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4"/>
        <v>41.25</v>
      </c>
      <c r="N264" t="str" cm="1">
        <f t="array" ref="N264">_xlfn.IFS(I264="rob","Robusta",I264="exc","Excesla",I264="ara","Arabica",I264="lib","Liberica")</f>
        <v>Excesla</v>
      </c>
      <c r="O264" t="str" cm="1">
        <f t="array" ref="O264">_xlfn.IFS(J264="m","Medium",J264="l","Light",J264="d","Dark")</f>
        <v>Medium</v>
      </c>
      <c r="P264" t="str">
        <f>_xlfn.XLOOKUP(orders[[#This Row],[Customer ID]],customers!$A$2:$A$1001,customers!$I$2:$I$1001,,0)</f>
        <v>No</v>
      </c>
    </row>
    <row r="265" spans="1:16" x14ac:dyDescent="0.3">
      <c r="A265" s="2" t="s">
        <v>1975</v>
      </c>
      <c r="B265" s="6">
        <v>43577</v>
      </c>
      <c r="C265" s="2" t="s">
        <v>1976</v>
      </c>
      <c r="D265" t="s">
        <v>6181</v>
      </c>
      <c r="E265" s="2">
        <v>4</v>
      </c>
      <c r="F265" s="2" t="str">
        <f>_xlfn.XLOOKUP(C265,customers!$A$1:$A$1001,customers!$B$1:$B$1001,,0,1)</f>
        <v>Mar McIver</v>
      </c>
      <c r="G265" s="2" t="str">
        <f>IF((_xlfn.XLOOKUP(C265,customers!$A$2:$A$1001,customers!$C$2:$C$1001,,,)=0),"",(_xlfn.XLOOKUP(C265,customers!$A$2:$A$1001,customers!$C$2:$C$1001,,0,)))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4"/>
        <v>133.85999999999999</v>
      </c>
      <c r="N265" t="str" cm="1">
        <f t="array" ref="N265">_xlfn.IFS(I265="rob","Robusta",I265="exc","Excesla",I265="ara","Arabica",I265="lib","Liberica")</f>
        <v>Liberica</v>
      </c>
      <c r="O265" t="str" cm="1">
        <f t="array" ref="O265">_xlfn.IFS(J265="m","Medium",J265="l","Light",J265="d","Dark")</f>
        <v>Medium</v>
      </c>
      <c r="P265" t="str">
        <f>_xlfn.XLOOKUP(orders[[#This Row],[Customer ID]],customers!$A$2:$A$1001,customers!$I$2:$I$1001,,0)</f>
        <v>No</v>
      </c>
    </row>
    <row r="266" spans="1:16" x14ac:dyDescent="0.3">
      <c r="A266" s="2" t="s">
        <v>1980</v>
      </c>
      <c r="B266" s="6">
        <v>44683</v>
      </c>
      <c r="C266" s="2" t="s">
        <v>1981</v>
      </c>
      <c r="D266" t="s">
        <v>6179</v>
      </c>
      <c r="E266" s="2">
        <v>5</v>
      </c>
      <c r="F266" s="2" t="str">
        <f>_xlfn.XLOOKUP(C266,customers!$A$1:$A$1001,customers!$B$1:$B$1001,,0,1)</f>
        <v>Arabella Fransewich</v>
      </c>
      <c r="G266" s="2" t="str">
        <f>IF((_xlfn.XLOOKUP(C266,customers!$A$2:$A$1001,customers!$C$2:$C$1001,,,)=0),"",(_xlfn.XLOOKUP(C266,customers!$A$2:$A$1001,customers!$C$2:$C$1001,,0,)))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4"/>
        <v>59.75</v>
      </c>
      <c r="N266" t="str" cm="1">
        <f t="array" ref="N266">_xlfn.IFS(I266="rob","Robusta",I266="exc","Excesla",I266="ara","Arabica",I266="lib","Liberica")</f>
        <v>Robusta</v>
      </c>
      <c r="O266" t="str" cm="1">
        <f t="array" ref="O266">_xlfn.IFS(J266="m","Medium",J266="l","Light",J266="d","Dark")</f>
        <v>Light</v>
      </c>
      <c r="P266" t="str">
        <f>_xlfn.XLOOKUP(orders[[#This Row],[Customer ID]],customers!$A$2:$A$1001,customers!$I$2:$I$1001,,0)</f>
        <v>Yes</v>
      </c>
    </row>
    <row r="267" spans="1:16" x14ac:dyDescent="0.3">
      <c r="A267" s="2" t="s">
        <v>1986</v>
      </c>
      <c r="B267" s="6">
        <v>43872</v>
      </c>
      <c r="C267" s="2" t="s">
        <v>1987</v>
      </c>
      <c r="D267" t="s">
        <v>6158</v>
      </c>
      <c r="E267" s="2">
        <v>1</v>
      </c>
      <c r="F267" s="2" t="str">
        <f>_xlfn.XLOOKUP(C267,customers!$A$1:$A$1001,customers!$B$1:$B$1001,,0,1)</f>
        <v>Violette Hellmore</v>
      </c>
      <c r="G267" s="2" t="str">
        <f>IF((_xlfn.XLOOKUP(C267,customers!$A$2:$A$1001,customers!$C$2:$C$1001,,,)=0),"",(_xlfn.XLOOKUP(C267,customers!$A$2:$A$1001,customers!$C$2:$C$1001,,0,)))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4"/>
        <v>5.97</v>
      </c>
      <c r="N267" t="str" cm="1">
        <f t="array" ref="N267">_xlfn.IFS(I267="rob","Robusta",I267="exc","Excesla",I267="ara","Arabica",I267="lib","Liberica")</f>
        <v>Arabica</v>
      </c>
      <c r="O267" t="str" cm="1">
        <f t="array" ref="O267">_xlfn.IFS(J267="m","Medium",J267="l","Light",J267="d","Dark")</f>
        <v>Dark</v>
      </c>
      <c r="P267" t="str">
        <f>_xlfn.XLOOKUP(orders[[#This Row],[Customer ID]],customers!$A$2:$A$1001,customers!$I$2:$I$1001,,0)</f>
        <v>Yes</v>
      </c>
    </row>
    <row r="268" spans="1:16" x14ac:dyDescent="0.3">
      <c r="A268" s="2" t="s">
        <v>1992</v>
      </c>
      <c r="B268" s="6">
        <v>44283</v>
      </c>
      <c r="C268" s="2" t="s">
        <v>1993</v>
      </c>
      <c r="D268" t="s">
        <v>6183</v>
      </c>
      <c r="E268" s="2">
        <v>2</v>
      </c>
      <c r="F268" s="2" t="str">
        <f>_xlfn.XLOOKUP(C268,customers!$A$1:$A$1001,customers!$B$1:$B$1001,,0,1)</f>
        <v>Myles Seawright</v>
      </c>
      <c r="G268" s="2" t="str">
        <f>IF((_xlfn.XLOOKUP(C268,customers!$A$2:$A$1001,customers!$C$2:$C$1001,,,)=0),"",(_xlfn.XLOOKUP(C268,customers!$A$2:$A$1001,customers!$C$2:$C$1001,,0,)))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4"/>
        <v>24.3</v>
      </c>
      <c r="N268" t="str" cm="1">
        <f t="array" ref="N268">_xlfn.IFS(I268="rob","Robusta",I268="exc","Excesla",I268="ara","Arabica",I268="lib","Liberica")</f>
        <v>Excesla</v>
      </c>
      <c r="O268" t="str" cm="1">
        <f t="array" ref="O268">_xlfn.IFS(J268="m","Medium",J268="l","Light",J268="d","Dark")</f>
        <v>Dark</v>
      </c>
      <c r="P268" t="str">
        <f>_xlfn.XLOOKUP(orders[[#This Row],[Customer ID]],customers!$A$2:$A$1001,customers!$I$2:$I$1001,,0)</f>
        <v>No</v>
      </c>
    </row>
    <row r="269" spans="1:16" x14ac:dyDescent="0.3">
      <c r="A269" s="2" t="s">
        <v>1998</v>
      </c>
      <c r="B269" s="6">
        <v>44324</v>
      </c>
      <c r="C269" s="2" t="s">
        <v>1999</v>
      </c>
      <c r="D269" t="s">
        <v>6153</v>
      </c>
      <c r="E269" s="2">
        <v>6</v>
      </c>
      <c r="F269" s="2" t="str">
        <f>_xlfn.XLOOKUP(C269,customers!$A$1:$A$1001,customers!$B$1:$B$1001,,0,1)</f>
        <v>Silvana Northeast</v>
      </c>
      <c r="G269" s="2" t="str">
        <f>IF((_xlfn.XLOOKUP(C269,customers!$A$2:$A$1001,customers!$C$2:$C$1001,,,)=0),"",(_xlfn.XLOOKUP(C269,customers!$A$2:$A$1001,customers!$C$2:$C$1001,,0,)))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4"/>
        <v>21.87</v>
      </c>
      <c r="N269" t="str" cm="1">
        <f t="array" ref="N269">_xlfn.IFS(I269="rob","Robusta",I269="exc","Excesla",I269="ara","Arabica",I269="lib","Liberica")</f>
        <v>Excesla</v>
      </c>
      <c r="O269" t="str" cm="1">
        <f t="array" ref="O269">_xlfn.IFS(J269="m","Medium",J269="l","Light",J269="d","Dark")</f>
        <v>Dark</v>
      </c>
      <c r="P269" t="str">
        <f>_xlfn.XLOOKUP(orders[[#This Row],[Customer ID]],customers!$A$2:$A$1001,customers!$I$2:$I$1001,,0)</f>
        <v>Yes</v>
      </c>
    </row>
    <row r="270" spans="1:16" x14ac:dyDescent="0.3">
      <c r="A270" s="2" t="s">
        <v>2004</v>
      </c>
      <c r="B270" s="6">
        <v>43790</v>
      </c>
      <c r="C270" s="2" t="s">
        <v>1672</v>
      </c>
      <c r="D270" t="s">
        <v>6147</v>
      </c>
      <c r="E270" s="2">
        <v>2</v>
      </c>
      <c r="F270" s="2" t="str">
        <f>_xlfn.XLOOKUP(C270,customers!$A$1:$A$1001,customers!$B$1:$B$1001,,0,1)</f>
        <v>Anselma Attwater</v>
      </c>
      <c r="G270" s="2" t="str">
        <f>IF((_xlfn.XLOOKUP(C270,customers!$A$2:$A$1001,customers!$C$2:$C$1001,,,)=0),"",(_xlfn.XLOOKUP(C270,customers!$A$2:$A$1001,customers!$C$2:$C$1001,,0,)))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4"/>
        <v>19.899999999999999</v>
      </c>
      <c r="N270" t="str" cm="1">
        <f t="array" ref="N270">_xlfn.IFS(I270="rob","Robusta",I270="exc","Excesla",I270="ara","Arabica",I270="lib","Liberica")</f>
        <v>Arabica</v>
      </c>
      <c r="O270" t="str" cm="1">
        <f t="array" ref="O270">_xlfn.IFS(J270="m","Medium",J270="l","Light",J270="d","Dark")</f>
        <v>Dark</v>
      </c>
      <c r="P270" t="str">
        <f>_xlfn.XLOOKUP(orders[[#This Row],[Customer ID]],customers!$A$2:$A$1001,customers!$I$2:$I$1001,,0)</f>
        <v>Yes</v>
      </c>
    </row>
    <row r="271" spans="1:16" x14ac:dyDescent="0.3">
      <c r="A271" s="2" t="s">
        <v>2009</v>
      </c>
      <c r="B271" s="6">
        <v>44333</v>
      </c>
      <c r="C271" s="2" t="s">
        <v>2010</v>
      </c>
      <c r="D271" t="s">
        <v>6154</v>
      </c>
      <c r="E271" s="2">
        <v>2</v>
      </c>
      <c r="F271" s="2" t="str">
        <f>_xlfn.XLOOKUP(C271,customers!$A$1:$A$1001,customers!$B$1:$B$1001,,0,1)</f>
        <v>Monica Fearon</v>
      </c>
      <c r="G271" s="2" t="str">
        <f>IF((_xlfn.XLOOKUP(C271,customers!$A$2:$A$1001,customers!$C$2:$C$1001,,,)=0),"",(_xlfn.XLOOKUP(C271,customers!$A$2:$A$1001,customers!$C$2:$C$1001,,0,)))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4"/>
        <v>5.97</v>
      </c>
      <c r="N271" t="str" cm="1">
        <f t="array" ref="N271">_xlfn.IFS(I271="rob","Robusta",I271="exc","Excesla",I271="ara","Arabica",I271="lib","Liberica")</f>
        <v>Arabica</v>
      </c>
      <c r="O271" t="str" cm="1">
        <f t="array" ref="O271">_xlfn.IFS(J271="m","Medium",J271="l","Light",J271="d","Dark")</f>
        <v>Dark</v>
      </c>
      <c r="P271" t="str">
        <f>_xlfn.XLOOKUP(orders[[#This Row],[Customer ID]],customers!$A$2:$A$1001,customers!$I$2:$I$1001,,0)</f>
        <v>No</v>
      </c>
    </row>
    <row r="272" spans="1:16" x14ac:dyDescent="0.3">
      <c r="A272" s="2" t="s">
        <v>2015</v>
      </c>
      <c r="B272" s="6">
        <v>43655</v>
      </c>
      <c r="C272" s="2" t="s">
        <v>2016</v>
      </c>
      <c r="D272" t="s">
        <v>6144</v>
      </c>
      <c r="E272" s="2">
        <v>1</v>
      </c>
      <c r="F272" s="2" t="str">
        <f>_xlfn.XLOOKUP(C272,customers!$A$1:$A$1001,customers!$B$1:$B$1001,,0,1)</f>
        <v>Barney Chisnell</v>
      </c>
      <c r="G272" s="2" t="str">
        <f>IF((_xlfn.XLOOKUP(C272,customers!$A$2:$A$1001,customers!$C$2:$C$1001,,,)=0),"",(_xlfn.XLOOKUP(C272,customers!$A$2:$A$1001,customers!$C$2:$C$1001,,0,)))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4"/>
        <v>7.29</v>
      </c>
      <c r="N272" t="str" cm="1">
        <f t="array" ref="N272">_xlfn.IFS(I272="rob","Robusta",I272="exc","Excesla",I272="ara","Arabica",I272="lib","Liberica")</f>
        <v>Excesla</v>
      </c>
      <c r="O272" t="str" cm="1">
        <f t="array" ref="O272">_xlfn.IFS(J272="m","Medium",J272="l","Light",J272="d","Dark")</f>
        <v>Dark</v>
      </c>
      <c r="P272" t="str">
        <f>_xlfn.XLOOKUP(orders[[#This Row],[Customer ID]],customers!$A$2:$A$1001,customers!$I$2:$I$1001,,0)</f>
        <v>Yes</v>
      </c>
    </row>
    <row r="273" spans="1:16" x14ac:dyDescent="0.3">
      <c r="A273" s="2" t="s">
        <v>2019</v>
      </c>
      <c r="B273" s="6">
        <v>43971</v>
      </c>
      <c r="C273" s="2" t="s">
        <v>2020</v>
      </c>
      <c r="D273" t="s">
        <v>6154</v>
      </c>
      <c r="E273" s="2">
        <v>4</v>
      </c>
      <c r="F273" s="2" t="str">
        <f>_xlfn.XLOOKUP(C273,customers!$A$1:$A$1001,customers!$B$1:$B$1001,,0,1)</f>
        <v>Jasper Sisneros</v>
      </c>
      <c r="G273" s="2" t="str">
        <f>IF((_xlfn.XLOOKUP(C273,customers!$A$2:$A$1001,customers!$C$2:$C$1001,,,)=0),"",(_xlfn.XLOOKUP(C273,customers!$A$2:$A$1001,customers!$C$2:$C$1001,,0,)))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4"/>
        <v>11.94</v>
      </c>
      <c r="N273" t="str" cm="1">
        <f t="array" ref="N273">_xlfn.IFS(I273="rob","Robusta",I273="exc","Excesla",I273="ara","Arabica",I273="lib","Liberica")</f>
        <v>Arabica</v>
      </c>
      <c r="O273" t="str" cm="1">
        <f t="array" ref="O273">_xlfn.IFS(J273="m","Medium",J273="l","Light",J273="d","Dark")</f>
        <v>Dark</v>
      </c>
      <c r="P273" t="str">
        <f>_xlfn.XLOOKUP(orders[[#This Row],[Customer ID]],customers!$A$2:$A$1001,customers!$I$2:$I$1001,,0)</f>
        <v>Yes</v>
      </c>
    </row>
    <row r="274" spans="1:16" x14ac:dyDescent="0.3">
      <c r="A274" s="2" t="s">
        <v>2025</v>
      </c>
      <c r="B274" s="6">
        <v>44435</v>
      </c>
      <c r="C274" s="2" t="s">
        <v>2026</v>
      </c>
      <c r="D274" t="s">
        <v>6179</v>
      </c>
      <c r="E274" s="2">
        <v>6</v>
      </c>
      <c r="F274" s="2" t="str">
        <f>_xlfn.XLOOKUP(C274,customers!$A$1:$A$1001,customers!$B$1:$B$1001,,0,1)</f>
        <v>Zachariah Carlson</v>
      </c>
      <c r="G274" s="2" t="str">
        <f>IF((_xlfn.XLOOKUP(C274,customers!$A$2:$A$1001,customers!$C$2:$C$1001,,,)=0),"",(_xlfn.XLOOKUP(C274,customers!$A$2:$A$1001,customers!$C$2:$C$1001,,0,)))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4"/>
        <v>71.699999999999989</v>
      </c>
      <c r="N274" t="str" cm="1">
        <f t="array" ref="N274">_xlfn.IFS(I274="rob","Robusta",I274="exc","Excesla",I274="ara","Arabica",I274="lib","Liberica")</f>
        <v>Robusta</v>
      </c>
      <c r="O274" t="str" cm="1">
        <f t="array" ref="O274">_xlfn.IFS(J274="m","Medium",J274="l","Light",J274="d","Dark")</f>
        <v>Light</v>
      </c>
      <c r="P274" t="str">
        <f>_xlfn.XLOOKUP(orders[[#This Row],[Customer ID]],customers!$A$2:$A$1001,customers!$I$2:$I$1001,,0)</f>
        <v>Yes</v>
      </c>
    </row>
    <row r="275" spans="1:16" x14ac:dyDescent="0.3">
      <c r="A275" s="2" t="s">
        <v>2032</v>
      </c>
      <c r="B275" s="6">
        <v>44681</v>
      </c>
      <c r="C275" s="2" t="s">
        <v>2033</v>
      </c>
      <c r="D275" t="s">
        <v>6167</v>
      </c>
      <c r="E275" s="2">
        <v>2</v>
      </c>
      <c r="F275" s="2" t="str">
        <f>_xlfn.XLOOKUP(C275,customers!$A$1:$A$1001,customers!$B$1:$B$1001,,0,1)</f>
        <v>Warner Maddox</v>
      </c>
      <c r="G275" s="2" t="str">
        <f>IF((_xlfn.XLOOKUP(C275,customers!$A$2:$A$1001,customers!$C$2:$C$1001,,,)=0),"",(_xlfn.XLOOKUP(C275,customers!$A$2:$A$1001,customers!$C$2:$C$1001,,0,)))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4"/>
        <v>7.77</v>
      </c>
      <c r="N275" t="str" cm="1">
        <f t="array" ref="N275">_xlfn.IFS(I275="rob","Robusta",I275="exc","Excesla",I275="ara","Arabica",I275="lib","Liberica")</f>
        <v>Arabica</v>
      </c>
      <c r="O275" t="str" cm="1">
        <f t="array" ref="O275">_xlfn.IFS(J275="m","Medium",J275="l","Light",J275="d","Dark")</f>
        <v>Light</v>
      </c>
      <c r="P275" t="str">
        <f>_xlfn.XLOOKUP(orders[[#This Row],[Customer ID]],customers!$A$2:$A$1001,customers!$I$2:$I$1001,,0)</f>
        <v>No</v>
      </c>
    </row>
    <row r="276" spans="1:16" x14ac:dyDescent="0.3">
      <c r="A276" s="2" t="s">
        <v>2038</v>
      </c>
      <c r="B276" s="6">
        <v>43985</v>
      </c>
      <c r="C276" s="2" t="s">
        <v>2039</v>
      </c>
      <c r="D276" t="s">
        <v>6175</v>
      </c>
      <c r="E276" s="2">
        <v>1</v>
      </c>
      <c r="F276" s="2" t="str">
        <f>_xlfn.XLOOKUP(C276,customers!$A$1:$A$1001,customers!$B$1:$B$1001,,0,1)</f>
        <v>Donnie Hedlestone</v>
      </c>
      <c r="G276" s="2" t="str">
        <f>IF((_xlfn.XLOOKUP(C276,customers!$A$2:$A$1001,customers!$C$2:$C$1001,,,)=0),"",(_xlfn.XLOOKUP(C276,customers!$A$2:$A$1001,customers!$C$2:$C$1001,,0,)))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4"/>
        <v>25.874999999999996</v>
      </c>
      <c r="N276" t="str" cm="1">
        <f t="array" ref="N276">_xlfn.IFS(I276="rob","Robusta",I276="exc","Excesla",I276="ara","Arabica",I276="lib","Liberica")</f>
        <v>Arabica</v>
      </c>
      <c r="O276" t="str" cm="1">
        <f t="array" ref="O276">_xlfn.IFS(J276="m","Medium",J276="l","Light",J276="d","Dark")</f>
        <v>Medium</v>
      </c>
      <c r="P276" t="str">
        <f>_xlfn.XLOOKUP(orders[[#This Row],[Customer ID]],customers!$A$2:$A$1001,customers!$I$2:$I$1001,,0)</f>
        <v>No</v>
      </c>
    </row>
    <row r="277" spans="1:16" x14ac:dyDescent="0.3">
      <c r="A277" s="2" t="s">
        <v>2044</v>
      </c>
      <c r="B277" s="6">
        <v>44725</v>
      </c>
      <c r="C277" s="2" t="s">
        <v>2045</v>
      </c>
      <c r="D277" t="s">
        <v>6148</v>
      </c>
      <c r="E277" s="2">
        <v>6</v>
      </c>
      <c r="F277" s="2" t="str">
        <f>_xlfn.XLOOKUP(C277,customers!$A$1:$A$1001,customers!$B$1:$B$1001,,0,1)</f>
        <v>Teddi Crowthe</v>
      </c>
      <c r="G277" s="2" t="str">
        <f>IF((_xlfn.XLOOKUP(C277,customers!$A$2:$A$1001,customers!$C$2:$C$1001,,,)=0),"",(_xlfn.XLOOKUP(C277,customers!$A$2:$A$1001,customers!$C$2:$C$1001,,0,)))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4"/>
        <v>204.92999999999995</v>
      </c>
      <c r="N277" t="str" cm="1">
        <f t="array" ref="N277">_xlfn.IFS(I277="rob","Robusta",I277="exc","Excesla",I277="ara","Arabica",I277="lib","Liberica")</f>
        <v>Excesla</v>
      </c>
      <c r="O277" t="str" cm="1">
        <f t="array" ref="O277">_xlfn.IFS(J277="m","Medium",J277="l","Light",J277="d","Dark")</f>
        <v>Light</v>
      </c>
      <c r="P277" t="str">
        <f>_xlfn.XLOOKUP(orders[[#This Row],[Customer ID]],customers!$A$2:$A$1001,customers!$I$2:$I$1001,,0)</f>
        <v>No</v>
      </c>
    </row>
    <row r="278" spans="1:16" x14ac:dyDescent="0.3">
      <c r="A278" s="2" t="s">
        <v>2050</v>
      </c>
      <c r="B278" s="6">
        <v>43992</v>
      </c>
      <c r="C278" s="2" t="s">
        <v>2051</v>
      </c>
      <c r="D278" t="s">
        <v>6142</v>
      </c>
      <c r="E278" s="2">
        <v>4</v>
      </c>
      <c r="F278" s="2" t="str">
        <f>_xlfn.XLOOKUP(C278,customers!$A$1:$A$1001,customers!$B$1:$B$1001,,0,1)</f>
        <v>Dorelia Bury</v>
      </c>
      <c r="G278" s="2" t="str">
        <f>IF((_xlfn.XLOOKUP(C278,customers!$A$2:$A$1001,customers!$C$2:$C$1001,,,)=0),"",(_xlfn.XLOOKUP(C278,customers!$A$2:$A$1001,customers!$C$2:$C$1001,,0,)))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4"/>
        <v>109.93999999999998</v>
      </c>
      <c r="N278" t="str" cm="1">
        <f t="array" ref="N278">_xlfn.IFS(I278="rob","Robusta",I278="exc","Excesla",I278="ara","Arabica",I278="lib","Liberica")</f>
        <v>Robusta</v>
      </c>
      <c r="O278" t="str" cm="1">
        <f t="array" ref="O278">_xlfn.IFS(J278="m","Medium",J278="l","Light",J278="d","Dark")</f>
        <v>Light</v>
      </c>
      <c r="P278" t="str">
        <f>_xlfn.XLOOKUP(orders[[#This Row],[Customer ID]],customers!$A$2:$A$1001,customers!$I$2:$I$1001,,0)</f>
        <v>Yes</v>
      </c>
    </row>
    <row r="279" spans="1:16" x14ac:dyDescent="0.3">
      <c r="A279" s="2" t="s">
        <v>2056</v>
      </c>
      <c r="B279" s="6">
        <v>44183</v>
      </c>
      <c r="C279" s="2" t="s">
        <v>2057</v>
      </c>
      <c r="D279" t="s">
        <v>6171</v>
      </c>
      <c r="E279" s="2">
        <v>6</v>
      </c>
      <c r="F279" s="2" t="str">
        <f>_xlfn.XLOOKUP(C279,customers!$A$1:$A$1001,customers!$B$1:$B$1001,,0,1)</f>
        <v>Gussy Broadbear</v>
      </c>
      <c r="G279" s="2" t="str">
        <f>IF((_xlfn.XLOOKUP(C279,customers!$A$2:$A$1001,customers!$C$2:$C$1001,,,)=0),"",(_xlfn.XLOOKUP(C279,customers!$A$2:$A$1001,customers!$C$2:$C$1001,,0,)))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4"/>
        <v>89.1</v>
      </c>
      <c r="N279" t="str" cm="1">
        <f t="array" ref="N279">_xlfn.IFS(I279="rob","Robusta",I279="exc","Excesla",I279="ara","Arabica",I279="lib","Liberica")</f>
        <v>Excesla</v>
      </c>
      <c r="O279" t="str" cm="1">
        <f t="array" ref="O279">_xlfn.IFS(J279="m","Medium",J279="l","Light",J279="d","Dark")</f>
        <v>Light</v>
      </c>
      <c r="P279" t="str">
        <f>_xlfn.XLOOKUP(orders[[#This Row],[Customer ID]],customers!$A$2:$A$1001,customers!$I$2:$I$1001,,0)</f>
        <v>No</v>
      </c>
    </row>
    <row r="280" spans="1:16" x14ac:dyDescent="0.3">
      <c r="A280" s="2" t="s">
        <v>2062</v>
      </c>
      <c r="B280" s="6">
        <v>43708</v>
      </c>
      <c r="C280" s="2" t="s">
        <v>2063</v>
      </c>
      <c r="D280" t="s">
        <v>6167</v>
      </c>
      <c r="E280" s="2">
        <v>2</v>
      </c>
      <c r="F280" s="2" t="str">
        <f>_xlfn.XLOOKUP(C280,customers!$A$1:$A$1001,customers!$B$1:$B$1001,,0,1)</f>
        <v>Emlynne Palfrey</v>
      </c>
      <c r="G280" s="2" t="str">
        <f>IF((_xlfn.XLOOKUP(C280,customers!$A$2:$A$1001,customers!$C$2:$C$1001,,,)=0),"",(_xlfn.XLOOKUP(C280,customers!$A$2:$A$1001,customers!$C$2:$C$1001,,0,)))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4"/>
        <v>7.77</v>
      </c>
      <c r="N280" t="str" cm="1">
        <f t="array" ref="N280">_xlfn.IFS(I280="rob","Robusta",I280="exc","Excesla",I280="ara","Arabica",I280="lib","Liberica")</f>
        <v>Arabica</v>
      </c>
      <c r="O280" t="str" cm="1">
        <f t="array" ref="O280">_xlfn.IFS(J280="m","Medium",J280="l","Light",J280="d","Dark")</f>
        <v>Light</v>
      </c>
      <c r="P280" t="str">
        <f>_xlfn.XLOOKUP(orders[[#This Row],[Customer ID]],customers!$A$2:$A$1001,customers!$I$2:$I$1001,,0)</f>
        <v>Yes</v>
      </c>
    </row>
    <row r="281" spans="1:16" x14ac:dyDescent="0.3">
      <c r="A281" s="2" t="s">
        <v>2068</v>
      </c>
      <c r="B281" s="6">
        <v>43521</v>
      </c>
      <c r="C281" s="2" t="s">
        <v>2069</v>
      </c>
      <c r="D281" t="s">
        <v>6181</v>
      </c>
      <c r="E281" s="2">
        <v>1</v>
      </c>
      <c r="F281" s="2" t="str">
        <f>_xlfn.XLOOKUP(C281,customers!$A$1:$A$1001,customers!$B$1:$B$1001,,0,1)</f>
        <v>Parsifal Metrick</v>
      </c>
      <c r="G281" s="2" t="str">
        <f>IF((_xlfn.XLOOKUP(C281,customers!$A$2:$A$1001,customers!$C$2:$C$1001,,,)=0),"",(_xlfn.XLOOKUP(C281,customers!$A$2:$A$1001,customers!$C$2:$C$1001,,0,)))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4"/>
        <v>33.464999999999996</v>
      </c>
      <c r="N281" t="str" cm="1">
        <f t="array" ref="N281">_xlfn.IFS(I281="rob","Robusta",I281="exc","Excesla",I281="ara","Arabica",I281="lib","Liberica")</f>
        <v>Liberica</v>
      </c>
      <c r="O281" t="str" cm="1">
        <f t="array" ref="O281">_xlfn.IFS(J281="m","Medium",J281="l","Light",J281="d","Dark")</f>
        <v>Medium</v>
      </c>
      <c r="P281" t="str">
        <f>_xlfn.XLOOKUP(orders[[#This Row],[Customer ID]],customers!$A$2:$A$1001,customers!$I$2:$I$1001,,0)</f>
        <v>Yes</v>
      </c>
    </row>
    <row r="282" spans="1:16" x14ac:dyDescent="0.3">
      <c r="A282" s="2" t="s">
        <v>2074</v>
      </c>
      <c r="B282" s="6">
        <v>44234</v>
      </c>
      <c r="C282" s="2" t="s">
        <v>2075</v>
      </c>
      <c r="D282" t="s">
        <v>6139</v>
      </c>
      <c r="E282" s="2">
        <v>5</v>
      </c>
      <c r="F282" s="2" t="str">
        <f>_xlfn.XLOOKUP(C282,customers!$A$1:$A$1001,customers!$B$1:$B$1001,,0,1)</f>
        <v>Christopher Grieveson</v>
      </c>
      <c r="G282" s="2" t="str">
        <f>IF((_xlfn.XLOOKUP(C282,customers!$A$2:$A$1001,customers!$C$2:$C$1001,,,)=0),"",(_xlfn.XLOOKUP(C282,customers!$A$2:$A$1001,customers!$C$2:$C$1001,,0,)))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4"/>
        <v>41.25</v>
      </c>
      <c r="N282" t="str" cm="1">
        <f t="array" ref="N282">_xlfn.IFS(I282="rob","Robusta",I282="exc","Excesla",I282="ara","Arabica",I282="lib","Liberica")</f>
        <v>Excesla</v>
      </c>
      <c r="O282" t="str" cm="1">
        <f t="array" ref="O282">_xlfn.IFS(J282="m","Medium",J282="l","Light",J282="d","Dark")</f>
        <v>Medium</v>
      </c>
      <c r="P282" t="str">
        <f>_xlfn.XLOOKUP(orders[[#This Row],[Customer ID]],customers!$A$2:$A$1001,customers!$I$2:$I$1001,,0)</f>
        <v>Yes</v>
      </c>
    </row>
    <row r="283" spans="1:16" x14ac:dyDescent="0.3">
      <c r="A283" s="2" t="s">
        <v>2079</v>
      </c>
      <c r="B283" s="6">
        <v>44210</v>
      </c>
      <c r="C283" s="2" t="s">
        <v>2080</v>
      </c>
      <c r="D283" t="s">
        <v>6171</v>
      </c>
      <c r="E283" s="2">
        <v>4</v>
      </c>
      <c r="F283" s="2" t="str">
        <f>_xlfn.XLOOKUP(C283,customers!$A$1:$A$1001,customers!$B$1:$B$1001,,0,1)</f>
        <v>Karlan Karby</v>
      </c>
      <c r="G283" s="2" t="str">
        <f>IF((_xlfn.XLOOKUP(C283,customers!$A$2:$A$1001,customers!$C$2:$C$1001,,,)=0),"",(_xlfn.XLOOKUP(C283,customers!$A$2:$A$1001,customers!$C$2:$C$1001,,0,)))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4"/>
        <v>59.4</v>
      </c>
      <c r="N283" t="str" cm="1">
        <f t="array" ref="N283">_xlfn.IFS(I283="rob","Robusta",I283="exc","Excesla",I283="ara","Arabica",I283="lib","Liberica")</f>
        <v>Excesla</v>
      </c>
      <c r="O283" t="str" cm="1">
        <f t="array" ref="O283">_xlfn.IFS(J283="m","Medium",J283="l","Light",J283="d","Dark")</f>
        <v>Light</v>
      </c>
      <c r="P283" t="str">
        <f>_xlfn.XLOOKUP(orders[[#This Row],[Customer ID]],customers!$A$2:$A$1001,customers!$I$2:$I$1001,,0)</f>
        <v>Yes</v>
      </c>
    </row>
    <row r="284" spans="1:16" x14ac:dyDescent="0.3">
      <c r="A284" s="2" t="s">
        <v>2085</v>
      </c>
      <c r="B284" s="6">
        <v>43520</v>
      </c>
      <c r="C284" s="2" t="s">
        <v>2086</v>
      </c>
      <c r="D284" t="s">
        <v>6180</v>
      </c>
      <c r="E284" s="2">
        <v>1</v>
      </c>
      <c r="F284" s="2" t="str">
        <f>_xlfn.XLOOKUP(C284,customers!$A$1:$A$1001,customers!$B$1:$B$1001,,0,1)</f>
        <v>Flory Crumpe</v>
      </c>
      <c r="G284" s="2" t="str">
        <f>IF((_xlfn.XLOOKUP(C284,customers!$A$2:$A$1001,customers!$C$2:$C$1001,,,)=0),"",(_xlfn.XLOOKUP(C284,customers!$A$2:$A$1001,customers!$C$2:$C$1001,,0,)))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4"/>
        <v>7.77</v>
      </c>
      <c r="N284" t="str" cm="1">
        <f t="array" ref="N284">_xlfn.IFS(I284="rob","Robusta",I284="exc","Excesla",I284="ara","Arabica",I284="lib","Liberica")</f>
        <v>Arabica</v>
      </c>
      <c r="O284" t="str" cm="1">
        <f t="array" ref="O284">_xlfn.IFS(J284="m","Medium",J284="l","Light",J284="d","Dark")</f>
        <v>Light</v>
      </c>
      <c r="P284" t="str">
        <f>_xlfn.XLOOKUP(orders[[#This Row],[Customer ID]],customers!$A$2:$A$1001,customers!$I$2:$I$1001,,0)</f>
        <v>No</v>
      </c>
    </row>
    <row r="285" spans="1:16" x14ac:dyDescent="0.3">
      <c r="A285" s="2" t="s">
        <v>2091</v>
      </c>
      <c r="B285" s="6">
        <v>43639</v>
      </c>
      <c r="C285" s="2" t="s">
        <v>2092</v>
      </c>
      <c r="D285" t="s">
        <v>6172</v>
      </c>
      <c r="E285" s="2">
        <v>1</v>
      </c>
      <c r="F285" s="2" t="str">
        <f>_xlfn.XLOOKUP(C285,customers!$A$1:$A$1001,customers!$B$1:$B$1001,,0,1)</f>
        <v>Amity Chatto</v>
      </c>
      <c r="G285" s="2" t="str">
        <f>IF((_xlfn.XLOOKUP(C285,customers!$A$2:$A$1001,customers!$C$2:$C$1001,,,)=0),"",(_xlfn.XLOOKUP(C285,customers!$A$2:$A$1001,customers!$C$2:$C$1001,,0,)))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4"/>
        <v>5.3699999999999992</v>
      </c>
      <c r="N285" t="str" cm="1">
        <f t="array" ref="N285">_xlfn.IFS(I285="rob","Robusta",I285="exc","Excesla",I285="ara","Arabica",I285="lib","Liberica")</f>
        <v>Robusta</v>
      </c>
      <c r="O285" t="str" cm="1">
        <f t="array" ref="O285">_xlfn.IFS(J285="m","Medium",J285="l","Light",J285="d","Dark")</f>
        <v>Dark</v>
      </c>
      <c r="P285" t="str">
        <f>_xlfn.XLOOKUP(orders[[#This Row],[Customer ID]],customers!$A$2:$A$1001,customers!$I$2:$I$1001,,0)</f>
        <v>Yes</v>
      </c>
    </row>
    <row r="286" spans="1:16" x14ac:dyDescent="0.3">
      <c r="A286" s="2" t="s">
        <v>2097</v>
      </c>
      <c r="B286" s="6">
        <v>43960</v>
      </c>
      <c r="C286" s="2" t="s">
        <v>2098</v>
      </c>
      <c r="D286" t="s">
        <v>6166</v>
      </c>
      <c r="E286" s="2">
        <v>3</v>
      </c>
      <c r="F286" s="2" t="str">
        <f>_xlfn.XLOOKUP(C286,customers!$A$1:$A$1001,customers!$B$1:$B$1001,,0,1)</f>
        <v>Nanine McCarthy</v>
      </c>
      <c r="G286" s="2" t="str">
        <f>IF((_xlfn.XLOOKUP(C286,customers!$A$2:$A$1001,customers!$C$2:$C$1001,,,)=0),"",(_xlfn.XLOOKUP(C286,customers!$A$2:$A$1001,customers!$C$2:$C$1001,,0,)))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4"/>
        <v>94.874999999999986</v>
      </c>
      <c r="N286" t="str" cm="1">
        <f t="array" ref="N286">_xlfn.IFS(I286="rob","Robusta",I286="exc","Excesla",I286="ara","Arabica",I286="lib","Liberica")</f>
        <v>Excesla</v>
      </c>
      <c r="O286" t="str" cm="1">
        <f t="array" ref="O286">_xlfn.IFS(J286="m","Medium",J286="l","Light",J286="d","Dark")</f>
        <v>Medium</v>
      </c>
      <c r="P286" t="str">
        <f>_xlfn.XLOOKUP(orders[[#This Row],[Customer ID]],customers!$A$2:$A$1001,customers!$I$2:$I$1001,,0)</f>
        <v>No</v>
      </c>
    </row>
    <row r="287" spans="1:16" x14ac:dyDescent="0.3">
      <c r="A287" s="2" t="s">
        <v>2102</v>
      </c>
      <c r="B287" s="6">
        <v>44030</v>
      </c>
      <c r="C287" s="2" t="s">
        <v>2103</v>
      </c>
      <c r="D287" t="s">
        <v>6164</v>
      </c>
      <c r="E287" s="2">
        <v>1</v>
      </c>
      <c r="F287" s="2" t="str">
        <f>_xlfn.XLOOKUP(C287,customers!$A$1:$A$1001,customers!$B$1:$B$1001,,0,1)</f>
        <v>Lyndsey Megany</v>
      </c>
      <c r="G287" s="2" t="str">
        <f>IF((_xlfn.XLOOKUP(C287,customers!$A$2:$A$1001,customers!$C$2:$C$1001,,,)=0),"",(_xlfn.XLOOKUP(C287,customers!$A$2:$A$1001,customers!$C$2:$C$1001,,0,)))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4"/>
        <v>36.454999999999998</v>
      </c>
      <c r="N287" t="str" cm="1">
        <f t="array" ref="N287">_xlfn.IFS(I287="rob","Robusta",I287="exc","Excesla",I287="ara","Arabica",I287="lib","Liberica")</f>
        <v>Liberica</v>
      </c>
      <c r="O287" t="str" cm="1">
        <f t="array" ref="O287">_xlfn.IFS(J287="m","Medium",J287="l","Light",J287="d","Dark")</f>
        <v>Light</v>
      </c>
      <c r="P287" t="str">
        <f>_xlfn.XLOOKUP(orders[[#This Row],[Customer ID]],customers!$A$2:$A$1001,customers!$I$2:$I$1001,,0)</f>
        <v>No</v>
      </c>
    </row>
    <row r="288" spans="1:16" x14ac:dyDescent="0.3">
      <c r="A288" s="2" t="s">
        <v>2107</v>
      </c>
      <c r="B288" s="6">
        <v>43755</v>
      </c>
      <c r="C288" s="2" t="s">
        <v>2108</v>
      </c>
      <c r="D288" t="s">
        <v>6152</v>
      </c>
      <c r="E288" s="2">
        <v>4</v>
      </c>
      <c r="F288" s="2" t="str">
        <f>_xlfn.XLOOKUP(C288,customers!$A$1:$A$1001,customers!$B$1:$B$1001,,0,1)</f>
        <v>Byram Mergue</v>
      </c>
      <c r="G288" s="2" t="str">
        <f>IF((_xlfn.XLOOKUP(C288,customers!$A$2:$A$1001,customers!$C$2:$C$1001,,,)=0),"",(_xlfn.XLOOKUP(C288,customers!$A$2:$A$1001,customers!$C$2:$C$1001,,0,)))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4"/>
        <v>13.5</v>
      </c>
      <c r="N288" t="str" cm="1">
        <f t="array" ref="N288">_xlfn.IFS(I288="rob","Robusta",I288="exc","Excesla",I288="ara","Arabica",I288="lib","Liberica")</f>
        <v>Arabica</v>
      </c>
      <c r="O288" t="str" cm="1">
        <f t="array" ref="O288">_xlfn.IFS(J288="m","Medium",J288="l","Light",J288="d","Dark")</f>
        <v>Medium</v>
      </c>
      <c r="P288" t="str">
        <f>_xlfn.XLOOKUP(orders[[#This Row],[Customer ID]],customers!$A$2:$A$1001,customers!$I$2:$I$1001,,0)</f>
        <v>Yes</v>
      </c>
    </row>
    <row r="289" spans="1:16" x14ac:dyDescent="0.3">
      <c r="A289" s="2" t="s">
        <v>2112</v>
      </c>
      <c r="B289" s="6">
        <v>44697</v>
      </c>
      <c r="C289" s="2" t="s">
        <v>2113</v>
      </c>
      <c r="D289" t="s">
        <v>6178</v>
      </c>
      <c r="E289" s="2">
        <v>4</v>
      </c>
      <c r="F289" s="2" t="str">
        <f>_xlfn.XLOOKUP(C289,customers!$A$1:$A$1001,customers!$B$1:$B$1001,,0,1)</f>
        <v>Kerr Patise</v>
      </c>
      <c r="G289" s="2" t="str">
        <f>IF((_xlfn.XLOOKUP(C289,customers!$A$2:$A$1001,customers!$C$2:$C$1001,,,)=0),"",(_xlfn.XLOOKUP(C289,customers!$A$2:$A$1001,customers!$C$2:$C$1001,,0,)))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4"/>
        <v>14.339999999999998</v>
      </c>
      <c r="N289" t="str" cm="1">
        <f t="array" ref="N289">_xlfn.IFS(I289="rob","Robusta",I289="exc","Excesla",I289="ara","Arabica",I289="lib","Liberica")</f>
        <v>Robusta</v>
      </c>
      <c r="O289" t="str" cm="1">
        <f t="array" ref="O289">_xlfn.IFS(J289="m","Medium",J289="l","Light",J289="d","Dark")</f>
        <v>Light</v>
      </c>
      <c r="P289" t="str">
        <f>_xlfn.XLOOKUP(orders[[#This Row],[Customer ID]],customers!$A$2:$A$1001,customers!$I$2:$I$1001,,0)</f>
        <v>No</v>
      </c>
    </row>
    <row r="290" spans="1:16" x14ac:dyDescent="0.3">
      <c r="A290" s="2" t="s">
        <v>2118</v>
      </c>
      <c r="B290" s="6">
        <v>44279</v>
      </c>
      <c r="C290" s="2" t="s">
        <v>2119</v>
      </c>
      <c r="D290" t="s">
        <v>6139</v>
      </c>
      <c r="E290" s="2">
        <v>1</v>
      </c>
      <c r="F290" s="2" t="str">
        <f>_xlfn.XLOOKUP(C290,customers!$A$1:$A$1001,customers!$B$1:$B$1001,,0,1)</f>
        <v>Mathew Goulter</v>
      </c>
      <c r="G290" s="2" t="str">
        <f>IF((_xlfn.XLOOKUP(C290,customers!$A$2:$A$1001,customers!$C$2:$C$1001,,,)=0),"",(_xlfn.XLOOKUP(C290,customers!$A$2:$A$1001,customers!$C$2:$C$1001,,0,)))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4"/>
        <v>8.25</v>
      </c>
      <c r="N290" t="str" cm="1">
        <f t="array" ref="N290">_xlfn.IFS(I290="rob","Robusta",I290="exc","Excesla",I290="ara","Arabica",I290="lib","Liberica")</f>
        <v>Excesla</v>
      </c>
      <c r="O290" t="str" cm="1">
        <f t="array" ref="O290">_xlfn.IFS(J290="m","Medium",J290="l","Light",J290="d","Dark")</f>
        <v>Medium</v>
      </c>
      <c r="P290" t="str">
        <f>_xlfn.XLOOKUP(orders[[#This Row],[Customer ID]],customers!$A$2:$A$1001,customers!$I$2:$I$1001,,0)</f>
        <v>Yes</v>
      </c>
    </row>
    <row r="291" spans="1:16" x14ac:dyDescent="0.3">
      <c r="A291" s="2" t="s">
        <v>2123</v>
      </c>
      <c r="B291" s="6">
        <v>43772</v>
      </c>
      <c r="C291" s="2" t="s">
        <v>2124</v>
      </c>
      <c r="D291" t="s">
        <v>6163</v>
      </c>
      <c r="E291" s="2">
        <v>5</v>
      </c>
      <c r="F291" s="2" t="str">
        <f>_xlfn.XLOOKUP(C291,customers!$A$1:$A$1001,customers!$B$1:$B$1001,,0,1)</f>
        <v>Marris Grcic</v>
      </c>
      <c r="G291" s="2" t="str">
        <f>IF((_xlfn.XLOOKUP(C291,customers!$A$2:$A$1001,customers!$C$2:$C$1001,,,)=0),"",(_xlfn.XLOOKUP(C291,customers!$A$2:$A$1001,customers!$C$2:$C$1001,,0,)))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4"/>
        <v>13.424999999999997</v>
      </c>
      <c r="N291" t="str" cm="1">
        <f t="array" ref="N291">_xlfn.IFS(I291="rob","Robusta",I291="exc","Excesla",I291="ara","Arabica",I291="lib","Liberica")</f>
        <v>Robusta</v>
      </c>
      <c r="O291" t="str" cm="1">
        <f t="array" ref="O291">_xlfn.IFS(J291="m","Medium",J291="l","Light",J291="d","Dark")</f>
        <v>Dark</v>
      </c>
      <c r="P291" t="str">
        <f>_xlfn.XLOOKUP(orders[[#This Row],[Customer ID]],customers!$A$2:$A$1001,customers!$I$2:$I$1001,,0)</f>
        <v>Yes</v>
      </c>
    </row>
    <row r="292" spans="1:16" x14ac:dyDescent="0.3">
      <c r="A292" s="2" t="s">
        <v>2127</v>
      </c>
      <c r="B292" s="6">
        <v>44497</v>
      </c>
      <c r="C292" s="2" t="s">
        <v>2128</v>
      </c>
      <c r="D292" t="s">
        <v>6147</v>
      </c>
      <c r="E292" s="2">
        <v>5</v>
      </c>
      <c r="F292" s="2" t="str">
        <f>_xlfn.XLOOKUP(C292,customers!$A$1:$A$1001,customers!$B$1:$B$1001,,0,1)</f>
        <v>Domeniga Duke</v>
      </c>
      <c r="G292" s="2" t="str">
        <f>IF((_xlfn.XLOOKUP(C292,customers!$A$2:$A$1001,customers!$C$2:$C$1001,,,)=0),"",(_xlfn.XLOOKUP(C292,customers!$A$2:$A$1001,customers!$C$2:$C$1001,,0,)))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4"/>
        <v>49.75</v>
      </c>
      <c r="N292" t="str" cm="1">
        <f t="array" ref="N292">_xlfn.IFS(I292="rob","Robusta",I292="exc","Excesla",I292="ara","Arabica",I292="lib","Liberica")</f>
        <v>Arabica</v>
      </c>
      <c r="O292" t="str" cm="1">
        <f t="array" ref="O292">_xlfn.IFS(J292="m","Medium",J292="l","Light",J292="d","Dark")</f>
        <v>Dark</v>
      </c>
      <c r="P292" t="str">
        <f>_xlfn.XLOOKUP(orders[[#This Row],[Customer ID]],customers!$A$2:$A$1001,customers!$I$2:$I$1001,,0)</f>
        <v>No</v>
      </c>
    </row>
    <row r="293" spans="1:16" x14ac:dyDescent="0.3">
      <c r="A293" s="2" t="s">
        <v>2133</v>
      </c>
      <c r="B293" s="6">
        <v>44181</v>
      </c>
      <c r="C293" s="2" t="s">
        <v>2134</v>
      </c>
      <c r="D293" t="s">
        <v>6139</v>
      </c>
      <c r="E293" s="2">
        <v>2</v>
      </c>
      <c r="F293" s="2" t="str">
        <f>_xlfn.XLOOKUP(C293,customers!$A$1:$A$1001,customers!$B$1:$B$1001,,0,1)</f>
        <v>Violante Skouling</v>
      </c>
      <c r="G293" s="2" t="str">
        <f>IF((_xlfn.XLOOKUP(C293,customers!$A$2:$A$1001,customers!$C$2:$C$1001,,,)=0),"",(_xlfn.XLOOKUP(C293,customers!$A$2:$A$1001,customers!$C$2:$C$1001,,0,)))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4"/>
        <v>16.5</v>
      </c>
      <c r="N293" t="str" cm="1">
        <f t="array" ref="N293">_xlfn.IFS(I293="rob","Robusta",I293="exc","Excesla",I293="ara","Arabica",I293="lib","Liberica")</f>
        <v>Excesla</v>
      </c>
      <c r="O293" t="str" cm="1">
        <f t="array" ref="O293">_xlfn.IFS(J293="m","Medium",J293="l","Light",J293="d","Dark")</f>
        <v>Medium</v>
      </c>
      <c r="P293" t="str">
        <f>_xlfn.XLOOKUP(orders[[#This Row],[Customer ID]],customers!$A$2:$A$1001,customers!$I$2:$I$1001,,0)</f>
        <v>No</v>
      </c>
    </row>
    <row r="294" spans="1:16" x14ac:dyDescent="0.3">
      <c r="A294" s="2" t="s">
        <v>2137</v>
      </c>
      <c r="B294" s="6">
        <v>44529</v>
      </c>
      <c r="C294" s="2" t="s">
        <v>2138</v>
      </c>
      <c r="D294" t="s">
        <v>6158</v>
      </c>
      <c r="E294" s="2">
        <v>3</v>
      </c>
      <c r="F294" s="2" t="str">
        <f>_xlfn.XLOOKUP(C294,customers!$A$1:$A$1001,customers!$B$1:$B$1001,,0,1)</f>
        <v>Isidore Hussey</v>
      </c>
      <c r="G294" s="2" t="str">
        <f>IF((_xlfn.XLOOKUP(C294,customers!$A$2:$A$1001,customers!$C$2:$C$1001,,,)=0),"",(_xlfn.XLOOKUP(C294,customers!$A$2:$A$1001,customers!$C$2:$C$1001,,0,)))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4"/>
        <v>17.91</v>
      </c>
      <c r="N294" t="str" cm="1">
        <f t="array" ref="N294">_xlfn.IFS(I294="rob","Robusta",I294="exc","Excesla",I294="ara","Arabica",I294="lib","Liberica")</f>
        <v>Arabica</v>
      </c>
      <c r="O294" t="str" cm="1">
        <f t="array" ref="O294">_xlfn.IFS(J294="m","Medium",J294="l","Light",J294="d","Dark")</f>
        <v>Dark</v>
      </c>
      <c r="P294" t="str">
        <f>_xlfn.XLOOKUP(orders[[#This Row],[Customer ID]],customers!$A$2:$A$1001,customers!$I$2:$I$1001,,0)</f>
        <v>No</v>
      </c>
    </row>
    <row r="295" spans="1:16" x14ac:dyDescent="0.3">
      <c r="A295" s="2" t="s">
        <v>2142</v>
      </c>
      <c r="B295" s="6">
        <v>44275</v>
      </c>
      <c r="C295" s="2" t="s">
        <v>2143</v>
      </c>
      <c r="D295" t="s">
        <v>6158</v>
      </c>
      <c r="E295" s="2">
        <v>5</v>
      </c>
      <c r="F295" s="2" t="str">
        <f>_xlfn.XLOOKUP(C295,customers!$A$1:$A$1001,customers!$B$1:$B$1001,,0,1)</f>
        <v>Cassie Pinkerton</v>
      </c>
      <c r="G295" s="2" t="str">
        <f>IF((_xlfn.XLOOKUP(C295,customers!$A$2:$A$1001,customers!$C$2:$C$1001,,,)=0),"",(_xlfn.XLOOKUP(C295,customers!$A$2:$A$1001,customers!$C$2:$C$1001,,0,)))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4"/>
        <v>29.849999999999998</v>
      </c>
      <c r="N295" t="str" cm="1">
        <f t="array" ref="N295">_xlfn.IFS(I295="rob","Robusta",I295="exc","Excesla",I295="ara","Arabica",I295="lib","Liberica")</f>
        <v>Arabica</v>
      </c>
      <c r="O295" t="str" cm="1">
        <f t="array" ref="O295">_xlfn.IFS(J295="m","Medium",J295="l","Light",J295="d","Dark")</f>
        <v>Dark</v>
      </c>
      <c r="P295" t="str">
        <f>_xlfn.XLOOKUP(orders[[#This Row],[Customer ID]],customers!$A$2:$A$1001,customers!$I$2:$I$1001,,0)</f>
        <v>No</v>
      </c>
    </row>
    <row r="296" spans="1:16" x14ac:dyDescent="0.3">
      <c r="A296" s="2" t="s">
        <v>2148</v>
      </c>
      <c r="B296" s="6">
        <v>44659</v>
      </c>
      <c r="C296" s="2" t="s">
        <v>2149</v>
      </c>
      <c r="D296" t="s">
        <v>6171</v>
      </c>
      <c r="E296" s="2">
        <v>3</v>
      </c>
      <c r="F296" s="2" t="str">
        <f>_xlfn.XLOOKUP(C296,customers!$A$1:$A$1001,customers!$B$1:$B$1001,,0,1)</f>
        <v>Micki Fero</v>
      </c>
      <c r="G296" s="2" t="str">
        <f>IF((_xlfn.XLOOKUP(C296,customers!$A$2:$A$1001,customers!$C$2:$C$1001,,,)=0),"",(_xlfn.XLOOKUP(C296,customers!$A$2:$A$1001,customers!$C$2:$C$1001,,0,)))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4"/>
        <v>44.55</v>
      </c>
      <c r="N296" t="str" cm="1">
        <f t="array" ref="N296">_xlfn.IFS(I296="rob","Robusta",I296="exc","Excesla",I296="ara","Arabica",I296="lib","Liberica")</f>
        <v>Excesla</v>
      </c>
      <c r="O296" t="str" cm="1">
        <f t="array" ref="O296">_xlfn.IFS(J296="m","Medium",J296="l","Light",J296="d","Dark")</f>
        <v>Light</v>
      </c>
      <c r="P296" t="str">
        <f>_xlfn.XLOOKUP(orders[[#This Row],[Customer ID]],customers!$A$2:$A$1001,customers!$I$2:$I$1001,,0)</f>
        <v>No</v>
      </c>
    </row>
    <row r="297" spans="1:16" x14ac:dyDescent="0.3">
      <c r="A297" s="2" t="s">
        <v>2153</v>
      </c>
      <c r="B297" s="6">
        <v>44057</v>
      </c>
      <c r="C297" s="2" t="s">
        <v>2154</v>
      </c>
      <c r="D297" t="s">
        <v>6141</v>
      </c>
      <c r="E297" s="2">
        <v>2</v>
      </c>
      <c r="F297" s="2" t="str">
        <f>_xlfn.XLOOKUP(C297,customers!$A$1:$A$1001,customers!$B$1:$B$1001,,0,1)</f>
        <v>Cybill Graddell</v>
      </c>
      <c r="G297" s="2" t="str">
        <f>IF((_xlfn.XLOOKUP(C297,customers!$A$2:$A$1001,customers!$C$2:$C$1001,,,)=0),"",(_xlfn.XLOOKUP(C297,customers!$A$2:$A$1001,customers!$C$2:$C$1001,,0,)))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4"/>
        <v>27.5</v>
      </c>
      <c r="N297" t="str" cm="1">
        <f t="array" ref="N297">_xlfn.IFS(I297="rob","Robusta",I297="exc","Excesla",I297="ara","Arabica",I297="lib","Liberica")</f>
        <v>Excesla</v>
      </c>
      <c r="O297" t="str" cm="1">
        <f t="array" ref="O297">_xlfn.IFS(J297="m","Medium",J297="l","Light",J297="d","Dark")</f>
        <v>Medium</v>
      </c>
      <c r="P297" t="str">
        <f>_xlfn.XLOOKUP(orders[[#This Row],[Customer ID]],customers!$A$2:$A$1001,customers!$I$2:$I$1001,,0)</f>
        <v>No</v>
      </c>
    </row>
    <row r="298" spans="1:16" x14ac:dyDescent="0.3">
      <c r="A298" s="2" t="s">
        <v>2157</v>
      </c>
      <c r="B298" s="6">
        <v>43597</v>
      </c>
      <c r="C298" s="2" t="s">
        <v>2158</v>
      </c>
      <c r="D298" t="s">
        <v>6146</v>
      </c>
      <c r="E298" s="2">
        <v>6</v>
      </c>
      <c r="F298" s="2" t="str">
        <f>_xlfn.XLOOKUP(C298,customers!$A$1:$A$1001,customers!$B$1:$B$1001,,0,1)</f>
        <v>Dorian Vizor</v>
      </c>
      <c r="G298" s="2" t="str">
        <f>IF((_xlfn.XLOOKUP(C298,customers!$A$2:$A$1001,customers!$C$2:$C$1001,,,)=0),"",(_xlfn.XLOOKUP(C298,customers!$A$2:$A$1001,customers!$C$2:$C$1001,,0,)))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4"/>
        <v>35.82</v>
      </c>
      <c r="N298" t="str" cm="1">
        <f t="array" ref="N298">_xlfn.IFS(I298="rob","Robusta",I298="exc","Excesla",I298="ara","Arabica",I298="lib","Liberica")</f>
        <v>Robusta</v>
      </c>
      <c r="O298" t="str" cm="1">
        <f t="array" ref="O298">_xlfn.IFS(J298="m","Medium",J298="l","Light",J298="d","Dark")</f>
        <v>Medium</v>
      </c>
      <c r="P298" t="str">
        <f>_xlfn.XLOOKUP(orders[[#This Row],[Customer ID]],customers!$A$2:$A$1001,customers!$I$2:$I$1001,,0)</f>
        <v>Yes</v>
      </c>
    </row>
    <row r="299" spans="1:16" x14ac:dyDescent="0.3">
      <c r="A299" s="2" t="s">
        <v>2163</v>
      </c>
      <c r="B299" s="6">
        <v>44258</v>
      </c>
      <c r="C299" s="2" t="s">
        <v>2164</v>
      </c>
      <c r="D299" t="s">
        <v>6172</v>
      </c>
      <c r="E299" s="2">
        <v>3</v>
      </c>
      <c r="F299" s="2" t="str">
        <f>_xlfn.XLOOKUP(C299,customers!$A$1:$A$1001,customers!$B$1:$B$1001,,0,1)</f>
        <v>Eddi Sedgebeer</v>
      </c>
      <c r="G299" s="2" t="str">
        <f>IF((_xlfn.XLOOKUP(C299,customers!$A$2:$A$1001,customers!$C$2:$C$1001,,,)=0),"",(_xlfn.XLOOKUP(C299,customers!$A$2:$A$1001,customers!$C$2:$C$1001,,0,)))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4"/>
        <v>16.11</v>
      </c>
      <c r="N299" t="str" cm="1">
        <f t="array" ref="N299">_xlfn.IFS(I299="rob","Robusta",I299="exc","Excesla",I299="ara","Arabica",I299="lib","Liberica")</f>
        <v>Robusta</v>
      </c>
      <c r="O299" t="str" cm="1">
        <f t="array" ref="O299">_xlfn.IFS(J299="m","Medium",J299="l","Light",J299="d","Dark")</f>
        <v>Dark</v>
      </c>
      <c r="P299" t="str">
        <f>_xlfn.XLOOKUP(orders[[#This Row],[Customer ID]],customers!$A$2:$A$1001,customers!$I$2:$I$1001,,0)</f>
        <v>Yes</v>
      </c>
    </row>
    <row r="300" spans="1:16" x14ac:dyDescent="0.3">
      <c r="A300" s="2" t="s">
        <v>2169</v>
      </c>
      <c r="B300" s="6">
        <v>43872</v>
      </c>
      <c r="C300" s="2" t="s">
        <v>2170</v>
      </c>
      <c r="D300" t="s">
        <v>6184</v>
      </c>
      <c r="E300" s="2">
        <v>6</v>
      </c>
      <c r="F300" s="2" t="str">
        <f>_xlfn.XLOOKUP(C300,customers!$A$1:$A$1001,customers!$B$1:$B$1001,,0,1)</f>
        <v>Ken Lestrange</v>
      </c>
      <c r="G300" s="2" t="str">
        <f>IF((_xlfn.XLOOKUP(C300,customers!$A$2:$A$1001,customers!$C$2:$C$1001,,,)=0),"",(_xlfn.XLOOKUP(C300,customers!$A$2:$A$1001,customers!$C$2:$C$1001,,0,)))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4"/>
        <v>26.73</v>
      </c>
      <c r="N300" t="str" cm="1">
        <f t="array" ref="N300">_xlfn.IFS(I300="rob","Robusta",I300="exc","Excesla",I300="ara","Arabica",I300="lib","Liberica")</f>
        <v>Excesla</v>
      </c>
      <c r="O300" t="str" cm="1">
        <f t="array" ref="O300">_xlfn.IFS(J300="m","Medium",J300="l","Light",J300="d","Dark")</f>
        <v>Light</v>
      </c>
      <c r="P300" t="str">
        <f>_xlfn.XLOOKUP(orders[[#This Row],[Customer ID]],customers!$A$2:$A$1001,customers!$I$2:$I$1001,,0)</f>
        <v>Yes</v>
      </c>
    </row>
    <row r="301" spans="1:16" x14ac:dyDescent="0.3">
      <c r="A301" s="2" t="s">
        <v>2175</v>
      </c>
      <c r="B301" s="6">
        <v>43582</v>
      </c>
      <c r="C301" s="2" t="s">
        <v>2176</v>
      </c>
      <c r="D301" t="s">
        <v>6148</v>
      </c>
      <c r="E301" s="2">
        <v>6</v>
      </c>
      <c r="F301" s="2" t="str">
        <f>_xlfn.XLOOKUP(C301,customers!$A$1:$A$1001,customers!$B$1:$B$1001,,0,1)</f>
        <v>Lacee Tanti</v>
      </c>
      <c r="G301" s="2" t="str">
        <f>IF((_xlfn.XLOOKUP(C301,customers!$A$2:$A$1001,customers!$C$2:$C$1001,,,)=0),"",(_xlfn.XLOOKUP(C301,customers!$A$2:$A$1001,customers!$C$2:$C$1001,,0,)))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4"/>
        <v>204.92999999999995</v>
      </c>
      <c r="N301" t="str" cm="1">
        <f t="array" ref="N301">_xlfn.IFS(I301="rob","Robusta",I301="exc","Excesla",I301="ara","Arabica",I301="lib","Liberica")</f>
        <v>Excesla</v>
      </c>
      <c r="O301" t="str" cm="1">
        <f t="array" ref="O301">_xlfn.IFS(J301="m","Medium",J301="l","Light",J301="d","Dark")</f>
        <v>Light</v>
      </c>
      <c r="P301" t="str">
        <f>_xlfn.XLOOKUP(orders[[#This Row],[Customer ID]],customers!$A$2:$A$1001,customers!$I$2:$I$1001,,0)</f>
        <v>Yes</v>
      </c>
    </row>
    <row r="302" spans="1:16" x14ac:dyDescent="0.3">
      <c r="A302" s="2" t="s">
        <v>2181</v>
      </c>
      <c r="B302" s="6">
        <v>44646</v>
      </c>
      <c r="C302" s="2" t="s">
        <v>2182</v>
      </c>
      <c r="D302" t="s">
        <v>6140</v>
      </c>
      <c r="E302" s="2">
        <v>3</v>
      </c>
      <c r="F302" s="2" t="str">
        <f>_xlfn.XLOOKUP(C302,customers!$A$1:$A$1001,customers!$B$1:$B$1001,,0,1)</f>
        <v>Arel De Lasci</v>
      </c>
      <c r="G302" s="2" t="str">
        <f>IF((_xlfn.XLOOKUP(C302,customers!$A$2:$A$1001,customers!$C$2:$C$1001,,,)=0),"",(_xlfn.XLOOKUP(C302,customers!$A$2:$A$1001,customers!$C$2:$C$1001,,0,)))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4"/>
        <v>38.849999999999994</v>
      </c>
      <c r="N302" t="str" cm="1">
        <f t="array" ref="N302">_xlfn.IFS(I302="rob","Robusta",I302="exc","Excesla",I302="ara","Arabica",I302="lib","Liberica")</f>
        <v>Arabica</v>
      </c>
      <c r="O302" t="str" cm="1">
        <f t="array" ref="O302">_xlfn.IFS(J302="m","Medium",J302="l","Light",J302="d","Dark")</f>
        <v>Light</v>
      </c>
      <c r="P302" t="str">
        <f>_xlfn.XLOOKUP(orders[[#This Row],[Customer ID]],customers!$A$2:$A$1001,customers!$I$2:$I$1001,,0)</f>
        <v>Yes</v>
      </c>
    </row>
    <row r="303" spans="1:16" x14ac:dyDescent="0.3">
      <c r="A303" s="2" t="s">
        <v>2187</v>
      </c>
      <c r="B303" s="6">
        <v>44102</v>
      </c>
      <c r="C303" s="2" t="s">
        <v>2188</v>
      </c>
      <c r="D303" t="s">
        <v>6150</v>
      </c>
      <c r="E303" s="2">
        <v>4</v>
      </c>
      <c r="F303" s="2" t="str">
        <f>_xlfn.XLOOKUP(C303,customers!$A$1:$A$1001,customers!$B$1:$B$1001,,0,1)</f>
        <v>Trescha Jedrachowicz</v>
      </c>
      <c r="G303" s="2" t="str">
        <f>IF((_xlfn.XLOOKUP(C303,customers!$A$2:$A$1001,customers!$C$2:$C$1001,,,)=0),"",(_xlfn.XLOOKUP(C303,customers!$A$2:$A$1001,customers!$C$2:$C$1001,,0,)))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4"/>
        <v>15.54</v>
      </c>
      <c r="N303" t="str" cm="1">
        <f t="array" ref="N303">_xlfn.IFS(I303="rob","Robusta",I303="exc","Excesla",I303="ara","Arabica",I303="lib","Liberica")</f>
        <v>Liberica</v>
      </c>
      <c r="O303" t="str" cm="1">
        <f t="array" ref="O303">_xlfn.IFS(J303="m","Medium",J303="l","Light",J303="d","Dark")</f>
        <v>Dark</v>
      </c>
      <c r="P303" t="str">
        <f>_xlfn.XLOOKUP(orders[[#This Row],[Customer ID]],customers!$A$2:$A$1001,customers!$I$2:$I$1001,,0)</f>
        <v>Yes</v>
      </c>
    </row>
    <row r="304" spans="1:16" x14ac:dyDescent="0.3">
      <c r="A304" s="2" t="s">
        <v>2193</v>
      </c>
      <c r="B304" s="6">
        <v>43762</v>
      </c>
      <c r="C304" s="2" t="s">
        <v>2194</v>
      </c>
      <c r="D304" t="s">
        <v>6157</v>
      </c>
      <c r="E304" s="2">
        <v>1</v>
      </c>
      <c r="F304" s="2" t="str">
        <f>_xlfn.XLOOKUP(C304,customers!$A$1:$A$1001,customers!$B$1:$B$1001,,0,1)</f>
        <v>Perkin Stonner</v>
      </c>
      <c r="G304" s="2" t="str">
        <f>IF((_xlfn.XLOOKUP(C304,customers!$A$2:$A$1001,customers!$C$2:$C$1001,,,)=0),"",(_xlfn.XLOOKUP(C304,customers!$A$2:$A$1001,customers!$C$2:$C$1001,,0,)))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4"/>
        <v>6.75</v>
      </c>
      <c r="N304" t="str" cm="1">
        <f t="array" ref="N304">_xlfn.IFS(I304="rob","Robusta",I304="exc","Excesla",I304="ara","Arabica",I304="lib","Liberica")</f>
        <v>Arabica</v>
      </c>
      <c r="O304" t="str" cm="1">
        <f t="array" ref="O304">_xlfn.IFS(J304="m","Medium",J304="l","Light",J304="d","Dark")</f>
        <v>Medium</v>
      </c>
      <c r="P304" t="str">
        <f>_xlfn.XLOOKUP(orders[[#This Row],[Customer ID]],customers!$A$2:$A$1001,customers!$I$2:$I$1001,,0)</f>
        <v>No</v>
      </c>
    </row>
    <row r="305" spans="1:16" x14ac:dyDescent="0.3">
      <c r="A305" s="2" t="s">
        <v>2199</v>
      </c>
      <c r="B305" s="6">
        <v>44412</v>
      </c>
      <c r="C305" s="2" t="s">
        <v>2200</v>
      </c>
      <c r="D305" t="s">
        <v>6185</v>
      </c>
      <c r="E305" s="2">
        <v>4</v>
      </c>
      <c r="F305" s="2" t="str">
        <f>_xlfn.XLOOKUP(C305,customers!$A$1:$A$1001,customers!$B$1:$B$1001,,0,1)</f>
        <v>Darrin Tingly</v>
      </c>
      <c r="G305" s="2" t="str">
        <f>IF((_xlfn.XLOOKUP(C305,customers!$A$2:$A$1001,customers!$C$2:$C$1001,,,)=0),"",(_xlfn.XLOOKUP(C305,customers!$A$2:$A$1001,customers!$C$2:$C$1001,,0,)))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4"/>
        <v>111.78</v>
      </c>
      <c r="N305" t="str" cm="1">
        <f t="array" ref="N305">_xlfn.IFS(I305="rob","Robusta",I305="exc","Excesla",I305="ara","Arabica",I305="lib","Liberica")</f>
        <v>Excesla</v>
      </c>
      <c r="O305" t="str" cm="1">
        <f t="array" ref="O305">_xlfn.IFS(J305="m","Medium",J305="l","Light",J305="d","Dark")</f>
        <v>Dark</v>
      </c>
      <c r="P305" t="str">
        <f>_xlfn.XLOOKUP(orders[[#This Row],[Customer ID]],customers!$A$2:$A$1001,customers!$I$2:$I$1001,,0)</f>
        <v>Yes</v>
      </c>
    </row>
    <row r="306" spans="1:16" x14ac:dyDescent="0.3">
      <c r="A306" s="2" t="s">
        <v>2204</v>
      </c>
      <c r="B306" s="6">
        <v>43828</v>
      </c>
      <c r="C306" s="2" t="s">
        <v>2245</v>
      </c>
      <c r="D306" t="s">
        <v>6167</v>
      </c>
      <c r="E306" s="2">
        <v>1</v>
      </c>
      <c r="F306" s="2" t="str">
        <f>_xlfn.XLOOKUP(C306,customers!$A$1:$A$1001,customers!$B$1:$B$1001,,0,1)</f>
        <v>Claudetta Rushe</v>
      </c>
      <c r="G306" s="2" t="str">
        <f>IF((_xlfn.XLOOKUP(C306,customers!$A$2:$A$1001,customers!$C$2:$C$1001,,,)=0),"",(_xlfn.XLOOKUP(C306,customers!$A$2:$A$1001,customers!$C$2:$C$1001,,0,)))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4"/>
        <v>3.8849999999999998</v>
      </c>
      <c r="N306" t="str" cm="1">
        <f t="array" ref="N306">_xlfn.IFS(I306="rob","Robusta",I306="exc","Excesla",I306="ara","Arabica",I306="lib","Liberica")</f>
        <v>Arabica</v>
      </c>
      <c r="O306" t="str" cm="1">
        <f t="array" ref="O306">_xlfn.IFS(J306="m","Medium",J306="l","Light",J306="d","Dark")</f>
        <v>Light</v>
      </c>
      <c r="P306" t="str">
        <f>_xlfn.XLOOKUP(orders[[#This Row],[Customer ID]],customers!$A$2:$A$1001,customers!$I$2:$I$1001,,0)</f>
        <v>Yes</v>
      </c>
    </row>
    <row r="307" spans="1:16" x14ac:dyDescent="0.3">
      <c r="A307" s="2" t="s">
        <v>2209</v>
      </c>
      <c r="B307" s="6">
        <v>43796</v>
      </c>
      <c r="C307" s="2" t="s">
        <v>2210</v>
      </c>
      <c r="D307" t="s">
        <v>6159</v>
      </c>
      <c r="E307" s="2">
        <v>5</v>
      </c>
      <c r="F307" s="2" t="str">
        <f>_xlfn.XLOOKUP(C307,customers!$A$1:$A$1001,customers!$B$1:$B$1001,,0,1)</f>
        <v>Benn Checci</v>
      </c>
      <c r="G307" s="2" t="str">
        <f>IF((_xlfn.XLOOKUP(C307,customers!$A$2:$A$1001,customers!$C$2:$C$1001,,,)=0),"",(_xlfn.XLOOKUP(C307,customers!$A$2:$A$1001,customers!$C$2:$C$1001,,0,)))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4"/>
        <v>21.825000000000003</v>
      </c>
      <c r="N307" t="str" cm="1">
        <f t="array" ref="N307">_xlfn.IFS(I307="rob","Robusta",I307="exc","Excesla",I307="ara","Arabica",I307="lib","Liberica")</f>
        <v>Liberica</v>
      </c>
      <c r="O307" t="str" cm="1">
        <f t="array" ref="O307">_xlfn.IFS(J307="m","Medium",J307="l","Light",J307="d","Dark")</f>
        <v>Medium</v>
      </c>
      <c r="P307" t="str">
        <f>_xlfn.XLOOKUP(orders[[#This Row],[Customer ID]],customers!$A$2:$A$1001,customers!$I$2:$I$1001,,0)</f>
        <v>No</v>
      </c>
    </row>
    <row r="308" spans="1:16" x14ac:dyDescent="0.3">
      <c r="A308" s="2" t="s">
        <v>2215</v>
      </c>
      <c r="B308" s="6">
        <v>43890</v>
      </c>
      <c r="C308" s="2" t="s">
        <v>2216</v>
      </c>
      <c r="D308" t="s">
        <v>6174</v>
      </c>
      <c r="E308" s="2">
        <v>5</v>
      </c>
      <c r="F308" s="2" t="str">
        <f>_xlfn.XLOOKUP(C308,customers!$A$1:$A$1001,customers!$B$1:$B$1001,,0,1)</f>
        <v>Janifer Bagot</v>
      </c>
      <c r="G308" s="2" t="str">
        <f>IF((_xlfn.XLOOKUP(C308,customers!$A$2:$A$1001,customers!$C$2:$C$1001,,,)=0),"",(_xlfn.XLOOKUP(C308,customers!$A$2:$A$1001,customers!$C$2:$C$1001,,0,)))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4"/>
        <v>14.924999999999999</v>
      </c>
      <c r="N308" t="str" cm="1">
        <f t="array" ref="N308">_xlfn.IFS(I308="rob","Robusta",I308="exc","Excesla",I308="ara","Arabica",I308="lib","Liberica")</f>
        <v>Robusta</v>
      </c>
      <c r="O308" t="str" cm="1">
        <f t="array" ref="O308">_xlfn.IFS(J308="m","Medium",J308="l","Light",J308="d","Dark")</f>
        <v>Medium</v>
      </c>
      <c r="P308" t="str">
        <f>_xlfn.XLOOKUP(orders[[#This Row],[Customer ID]],customers!$A$2:$A$1001,customers!$I$2:$I$1001,,0)</f>
        <v>No</v>
      </c>
    </row>
    <row r="309" spans="1:16" x14ac:dyDescent="0.3">
      <c r="A309" s="2" t="s">
        <v>2221</v>
      </c>
      <c r="B309" s="6">
        <v>44227</v>
      </c>
      <c r="C309" s="2" t="s">
        <v>2222</v>
      </c>
      <c r="D309" t="s">
        <v>6155</v>
      </c>
      <c r="E309" s="2">
        <v>3</v>
      </c>
      <c r="F309" s="2" t="str">
        <f>_xlfn.XLOOKUP(C309,customers!$A$1:$A$1001,customers!$B$1:$B$1001,,0,1)</f>
        <v>Ermin Beeble</v>
      </c>
      <c r="G309" s="2" t="str">
        <f>IF((_xlfn.XLOOKUP(C309,customers!$A$2:$A$1001,customers!$C$2:$C$1001,,,)=0),"",(_xlfn.XLOOKUP(C309,customers!$A$2:$A$1001,customers!$C$2:$C$1001,,0,)))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4"/>
        <v>33.75</v>
      </c>
      <c r="N309" t="str" cm="1">
        <f t="array" ref="N309">_xlfn.IFS(I309="rob","Robusta",I309="exc","Excesla",I309="ara","Arabica",I309="lib","Liberica")</f>
        <v>Arabica</v>
      </c>
      <c r="O309" t="str" cm="1">
        <f t="array" ref="O309">_xlfn.IFS(J309="m","Medium",J309="l","Light",J309="d","Dark")</f>
        <v>Medium</v>
      </c>
      <c r="P309" t="str">
        <f>_xlfn.XLOOKUP(orders[[#This Row],[Customer ID]],customers!$A$2:$A$1001,customers!$I$2:$I$1001,,0)</f>
        <v>Yes</v>
      </c>
    </row>
    <row r="310" spans="1:16" x14ac:dyDescent="0.3">
      <c r="A310" s="2" t="s">
        <v>2227</v>
      </c>
      <c r="B310" s="6">
        <v>44729</v>
      </c>
      <c r="C310" s="2" t="s">
        <v>2228</v>
      </c>
      <c r="D310" t="s">
        <v>6155</v>
      </c>
      <c r="E310" s="2">
        <v>3</v>
      </c>
      <c r="F310" s="2" t="str">
        <f>_xlfn.XLOOKUP(C310,customers!$A$1:$A$1001,customers!$B$1:$B$1001,,0,1)</f>
        <v>Cos Fluin</v>
      </c>
      <c r="G310" s="2" t="str">
        <f>IF((_xlfn.XLOOKUP(C310,customers!$A$2:$A$1001,customers!$C$2:$C$1001,,,)=0),"",(_xlfn.XLOOKUP(C310,customers!$A$2:$A$1001,customers!$C$2:$C$1001,,0,)))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4"/>
        <v>33.75</v>
      </c>
      <c r="N310" t="str" cm="1">
        <f t="array" ref="N310">_xlfn.IFS(I310="rob","Robusta",I310="exc","Excesla",I310="ara","Arabica",I310="lib","Liberica")</f>
        <v>Arabica</v>
      </c>
      <c r="O310" t="str" cm="1">
        <f t="array" ref="O310">_xlfn.IFS(J310="m","Medium",J310="l","Light",J310="d","Dark")</f>
        <v>Medium</v>
      </c>
      <c r="P310" t="str">
        <f>_xlfn.XLOOKUP(orders[[#This Row],[Customer ID]],customers!$A$2:$A$1001,customers!$I$2:$I$1001,,0)</f>
        <v>No</v>
      </c>
    </row>
    <row r="311" spans="1:16" x14ac:dyDescent="0.3">
      <c r="A311" s="2" t="s">
        <v>2232</v>
      </c>
      <c r="B311" s="6">
        <v>43864</v>
      </c>
      <c r="C311" s="2" t="s">
        <v>2233</v>
      </c>
      <c r="D311" t="s">
        <v>6159</v>
      </c>
      <c r="E311" s="2">
        <v>6</v>
      </c>
      <c r="F311" s="2" t="str">
        <f>_xlfn.XLOOKUP(C311,customers!$A$1:$A$1001,customers!$B$1:$B$1001,,0,1)</f>
        <v>Eveleen Bletsor</v>
      </c>
      <c r="G311" s="2" t="str">
        <f>IF((_xlfn.XLOOKUP(C311,customers!$A$2:$A$1001,customers!$C$2:$C$1001,,,)=0),"",(_xlfn.XLOOKUP(C311,customers!$A$2:$A$1001,customers!$C$2:$C$1001,,0,)))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4"/>
        <v>26.19</v>
      </c>
      <c r="N311" t="str" cm="1">
        <f t="array" ref="N311">_xlfn.IFS(I311="rob","Robusta",I311="exc","Excesla",I311="ara","Arabica",I311="lib","Liberica")</f>
        <v>Liberica</v>
      </c>
      <c r="O311" t="str" cm="1">
        <f t="array" ref="O311">_xlfn.IFS(J311="m","Medium",J311="l","Light",J311="d","Dark")</f>
        <v>Medium</v>
      </c>
      <c r="P311" t="str">
        <f>_xlfn.XLOOKUP(orders[[#This Row],[Customer ID]],customers!$A$2:$A$1001,customers!$I$2:$I$1001,,0)</f>
        <v>Yes</v>
      </c>
    </row>
    <row r="312" spans="1:16" x14ac:dyDescent="0.3">
      <c r="A312" s="2" t="s">
        <v>2238</v>
      </c>
      <c r="B312" s="6">
        <v>44586</v>
      </c>
      <c r="C312" s="2" t="s">
        <v>2239</v>
      </c>
      <c r="D312" t="s">
        <v>6171</v>
      </c>
      <c r="E312" s="2">
        <v>1</v>
      </c>
      <c r="F312" s="2" t="str">
        <f>_xlfn.XLOOKUP(C312,customers!$A$1:$A$1001,customers!$B$1:$B$1001,,0,1)</f>
        <v>Paola Brydell</v>
      </c>
      <c r="G312" s="2" t="str">
        <f>IF((_xlfn.XLOOKUP(C312,customers!$A$2:$A$1001,customers!$C$2:$C$1001,,,)=0),"",(_xlfn.XLOOKUP(C312,customers!$A$2:$A$1001,customers!$C$2:$C$1001,,0,)))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4"/>
        <v>14.85</v>
      </c>
      <c r="N312" t="str" cm="1">
        <f t="array" ref="N312">_xlfn.IFS(I312="rob","Robusta",I312="exc","Excesla",I312="ara","Arabica",I312="lib","Liberica")</f>
        <v>Excesla</v>
      </c>
      <c r="O312" t="str" cm="1">
        <f t="array" ref="O312">_xlfn.IFS(J312="m","Medium",J312="l","Light",J312="d","Dark")</f>
        <v>Light</v>
      </c>
      <c r="P312" t="str">
        <f>_xlfn.XLOOKUP(orders[[#This Row],[Customer ID]],customers!$A$2:$A$1001,customers!$I$2:$I$1001,,0)</f>
        <v>No</v>
      </c>
    </row>
    <row r="313" spans="1:16" x14ac:dyDescent="0.3">
      <c r="A313" s="2" t="s">
        <v>2244</v>
      </c>
      <c r="B313" s="6">
        <v>43951</v>
      </c>
      <c r="C313" s="2" t="s">
        <v>2245</v>
      </c>
      <c r="D313" t="s">
        <v>6166</v>
      </c>
      <c r="E313" s="2">
        <v>6</v>
      </c>
      <c r="F313" s="2" t="str">
        <f>_xlfn.XLOOKUP(C313,customers!$A$1:$A$1001,customers!$B$1:$B$1001,,0,1)</f>
        <v>Claudetta Rushe</v>
      </c>
      <c r="G313" s="2" t="str">
        <f>IF((_xlfn.XLOOKUP(C313,customers!$A$2:$A$1001,customers!$C$2:$C$1001,,,)=0),"",(_xlfn.XLOOKUP(C313,customers!$A$2:$A$1001,customers!$C$2:$C$1001,,0,)))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4"/>
        <v>189.74999999999997</v>
      </c>
      <c r="N313" t="str" cm="1">
        <f t="array" ref="N313">_xlfn.IFS(I313="rob","Robusta",I313="exc","Excesla",I313="ara","Arabica",I313="lib","Liberica")</f>
        <v>Excesla</v>
      </c>
      <c r="O313" t="str" cm="1">
        <f t="array" ref="O313">_xlfn.IFS(J313="m","Medium",J313="l","Light",J313="d","Dark")</f>
        <v>Medium</v>
      </c>
      <c r="P313" t="str">
        <f>_xlfn.XLOOKUP(orders[[#This Row],[Customer ID]],customers!$A$2:$A$1001,customers!$I$2:$I$1001,,0)</f>
        <v>Yes</v>
      </c>
    </row>
    <row r="314" spans="1:16" x14ac:dyDescent="0.3">
      <c r="A314" s="2" t="s">
        <v>2250</v>
      </c>
      <c r="B314" s="6">
        <v>44317</v>
      </c>
      <c r="C314" s="2" t="s">
        <v>2251</v>
      </c>
      <c r="D314" t="s">
        <v>6146</v>
      </c>
      <c r="E314" s="2">
        <v>1</v>
      </c>
      <c r="F314" s="2" t="str">
        <f>_xlfn.XLOOKUP(C314,customers!$A$1:$A$1001,customers!$B$1:$B$1001,,0,1)</f>
        <v>Natka Leethem</v>
      </c>
      <c r="G314" s="2" t="str">
        <f>IF((_xlfn.XLOOKUP(C314,customers!$A$2:$A$1001,customers!$C$2:$C$1001,,,)=0),"",(_xlfn.XLOOKUP(C314,customers!$A$2:$A$1001,customers!$C$2:$C$1001,,0,)))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4"/>
        <v>5.97</v>
      </c>
      <c r="N314" t="str" cm="1">
        <f t="array" ref="N314">_xlfn.IFS(I314="rob","Robusta",I314="exc","Excesla",I314="ara","Arabica",I314="lib","Liberica")</f>
        <v>Robusta</v>
      </c>
      <c r="O314" t="str" cm="1">
        <f t="array" ref="O314">_xlfn.IFS(J314="m","Medium",J314="l","Light",J314="d","Dark")</f>
        <v>Medium</v>
      </c>
      <c r="P314" t="str">
        <f>_xlfn.XLOOKUP(orders[[#This Row],[Customer ID]],customers!$A$2:$A$1001,customers!$I$2:$I$1001,,0)</f>
        <v>Yes</v>
      </c>
    </row>
    <row r="315" spans="1:16" x14ac:dyDescent="0.3">
      <c r="A315" s="2" t="s">
        <v>2256</v>
      </c>
      <c r="B315" s="6">
        <v>44497</v>
      </c>
      <c r="C315" s="2" t="s">
        <v>2257</v>
      </c>
      <c r="D315" t="s">
        <v>6138</v>
      </c>
      <c r="E315" s="2">
        <v>3</v>
      </c>
      <c r="F315" s="2" t="str">
        <f>_xlfn.XLOOKUP(C315,customers!$A$1:$A$1001,customers!$B$1:$B$1001,,0,1)</f>
        <v>Ailene Nesfield</v>
      </c>
      <c r="G315" s="2" t="str">
        <f>IF((_xlfn.XLOOKUP(C315,customers!$A$2:$A$1001,customers!$C$2:$C$1001,,,)=0),"",(_xlfn.XLOOKUP(C315,customers!$A$2:$A$1001,customers!$C$2:$C$1001,,0,)))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4"/>
        <v>29.849999999999998</v>
      </c>
      <c r="N315" t="str" cm="1">
        <f t="array" ref="N315">_xlfn.IFS(I315="rob","Robusta",I315="exc","Excesla",I315="ara","Arabica",I315="lib","Liberica")</f>
        <v>Robusta</v>
      </c>
      <c r="O315" t="str" cm="1">
        <f t="array" ref="O315">_xlfn.IFS(J315="m","Medium",J315="l","Light",J315="d","Dark")</f>
        <v>Medium</v>
      </c>
      <c r="P315" t="str">
        <f>_xlfn.XLOOKUP(orders[[#This Row],[Customer ID]],customers!$A$2:$A$1001,customers!$I$2:$I$1001,,0)</f>
        <v>Yes</v>
      </c>
    </row>
    <row r="316" spans="1:16" x14ac:dyDescent="0.3">
      <c r="A316" s="2" t="s">
        <v>2262</v>
      </c>
      <c r="B316" s="6">
        <v>44437</v>
      </c>
      <c r="C316" s="2" t="s">
        <v>2263</v>
      </c>
      <c r="D316" t="s">
        <v>6177</v>
      </c>
      <c r="E316" s="2">
        <v>5</v>
      </c>
      <c r="F316" s="2" t="str">
        <f>_xlfn.XLOOKUP(C316,customers!$A$1:$A$1001,customers!$B$1:$B$1001,,0,1)</f>
        <v>Stacy Pickworth</v>
      </c>
      <c r="G316" s="2" t="str">
        <f>IF((_xlfn.XLOOKUP(C316,customers!$A$2:$A$1001,customers!$C$2:$C$1001,,,)=0),"",(_xlfn.XLOOKUP(C316,customers!$A$2:$A$1001,customers!$C$2:$C$1001,,0,)))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4"/>
        <v>44.75</v>
      </c>
      <c r="N316" t="str" cm="1">
        <f t="array" ref="N316">_xlfn.IFS(I316="rob","Robusta",I316="exc","Excesla",I316="ara","Arabica",I316="lib","Liberica")</f>
        <v>Robusta</v>
      </c>
      <c r="O316" t="str" cm="1">
        <f t="array" ref="O316">_xlfn.IFS(J316="m","Medium",J316="l","Light",J316="d","Dark")</f>
        <v>Dark</v>
      </c>
      <c r="P316" t="str">
        <f>_xlfn.XLOOKUP(orders[[#This Row],[Customer ID]],customers!$A$2:$A$1001,customers!$I$2:$I$1001,,0)</f>
        <v>No</v>
      </c>
    </row>
    <row r="317" spans="1:16" x14ac:dyDescent="0.3">
      <c r="A317" s="2" t="s">
        <v>2267</v>
      </c>
      <c r="B317" s="6">
        <v>43826</v>
      </c>
      <c r="C317" s="2" t="s">
        <v>2268</v>
      </c>
      <c r="D317" t="s">
        <v>6148</v>
      </c>
      <c r="E317" s="2">
        <v>1</v>
      </c>
      <c r="F317" s="2" t="str">
        <f>_xlfn.XLOOKUP(C317,customers!$A$1:$A$1001,customers!$B$1:$B$1001,,0,1)</f>
        <v>Melli Brockway</v>
      </c>
      <c r="G317" s="2" t="str">
        <f>IF((_xlfn.XLOOKUP(C317,customers!$A$2:$A$1001,customers!$C$2:$C$1001,,,)=0),"",(_xlfn.XLOOKUP(C317,customers!$A$2:$A$1001,customers!$C$2:$C$1001,,0,)))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4"/>
        <v>34.154999999999994</v>
      </c>
      <c r="N317" t="str" cm="1">
        <f t="array" ref="N317">_xlfn.IFS(I317="rob","Robusta",I317="exc","Excesla",I317="ara","Arabica",I317="lib","Liberica")</f>
        <v>Excesla</v>
      </c>
      <c r="O317" t="str" cm="1">
        <f t="array" ref="O317">_xlfn.IFS(J317="m","Medium",J317="l","Light",J317="d","Dark")</f>
        <v>Light</v>
      </c>
      <c r="P317" t="str">
        <f>_xlfn.XLOOKUP(orders[[#This Row],[Customer ID]],customers!$A$2:$A$1001,customers!$I$2:$I$1001,,0)</f>
        <v>Yes</v>
      </c>
    </row>
    <row r="318" spans="1:16" x14ac:dyDescent="0.3">
      <c r="A318" s="2" t="s">
        <v>2273</v>
      </c>
      <c r="B318" s="6">
        <v>43641</v>
      </c>
      <c r="C318" s="2" t="s">
        <v>2274</v>
      </c>
      <c r="D318" t="s">
        <v>6148</v>
      </c>
      <c r="E318" s="2">
        <v>6</v>
      </c>
      <c r="F318" s="2" t="str">
        <f>_xlfn.XLOOKUP(C318,customers!$A$1:$A$1001,customers!$B$1:$B$1001,,0,1)</f>
        <v>Nanny Lush</v>
      </c>
      <c r="G318" s="2" t="str">
        <f>IF((_xlfn.XLOOKUP(C318,customers!$A$2:$A$1001,customers!$C$2:$C$1001,,,)=0),"",(_xlfn.XLOOKUP(C318,customers!$A$2:$A$1001,customers!$C$2:$C$1001,,0,)))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4"/>
        <v>204.92999999999995</v>
      </c>
      <c r="N318" t="str" cm="1">
        <f t="array" ref="N318">_xlfn.IFS(I318="rob","Robusta",I318="exc","Excesla",I318="ara","Arabica",I318="lib","Liberica")</f>
        <v>Excesla</v>
      </c>
      <c r="O318" t="str" cm="1">
        <f t="array" ref="O318">_xlfn.IFS(J318="m","Medium",J318="l","Light",J318="d","Dark")</f>
        <v>Light</v>
      </c>
      <c r="P318" t="str">
        <f>_xlfn.XLOOKUP(orders[[#This Row],[Customer ID]],customers!$A$2:$A$1001,customers!$I$2:$I$1001,,0)</f>
        <v>No</v>
      </c>
    </row>
    <row r="319" spans="1:16" x14ac:dyDescent="0.3">
      <c r="A319" s="2" t="s">
        <v>2279</v>
      </c>
      <c r="B319" s="6">
        <v>43526</v>
      </c>
      <c r="C319" s="2" t="s">
        <v>2280</v>
      </c>
      <c r="D319" t="s">
        <v>6144</v>
      </c>
      <c r="E319" s="2">
        <v>3</v>
      </c>
      <c r="F319" s="2" t="str">
        <f>_xlfn.XLOOKUP(C319,customers!$A$1:$A$1001,customers!$B$1:$B$1001,,0,1)</f>
        <v>Selma McMillian</v>
      </c>
      <c r="G319" s="2" t="str">
        <f>IF((_xlfn.XLOOKUP(C319,customers!$A$2:$A$1001,customers!$C$2:$C$1001,,,)=0),"",(_xlfn.XLOOKUP(C319,customers!$A$2:$A$1001,customers!$C$2:$C$1001,,0,)))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4"/>
        <v>21.87</v>
      </c>
      <c r="N319" t="str" cm="1">
        <f t="array" ref="N319">_xlfn.IFS(I319="rob","Robusta",I319="exc","Excesla",I319="ara","Arabica",I319="lib","Liberica")</f>
        <v>Excesla</v>
      </c>
      <c r="O319" t="str" cm="1">
        <f t="array" ref="O319">_xlfn.IFS(J319="m","Medium",J319="l","Light",J319="d","Dark")</f>
        <v>Dark</v>
      </c>
      <c r="P319" t="str">
        <f>_xlfn.XLOOKUP(orders[[#This Row],[Customer ID]],customers!$A$2:$A$1001,customers!$I$2:$I$1001,,0)</f>
        <v>No</v>
      </c>
    </row>
    <row r="320" spans="1:16" x14ac:dyDescent="0.3">
      <c r="A320" s="2" t="s">
        <v>2285</v>
      </c>
      <c r="B320" s="6">
        <v>44563</v>
      </c>
      <c r="C320" s="2" t="s">
        <v>2286</v>
      </c>
      <c r="D320" t="s">
        <v>6175</v>
      </c>
      <c r="E320" s="2">
        <v>2</v>
      </c>
      <c r="F320" s="2" t="str">
        <f>_xlfn.XLOOKUP(C320,customers!$A$1:$A$1001,customers!$B$1:$B$1001,,0,1)</f>
        <v>Tess Bennison</v>
      </c>
      <c r="G320" s="2" t="str">
        <f>IF((_xlfn.XLOOKUP(C320,customers!$A$2:$A$1001,customers!$C$2:$C$1001,,,)=0),"",(_xlfn.XLOOKUP(C320,customers!$A$2:$A$1001,customers!$C$2:$C$1001,,0,)))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4"/>
        <v>51.749999999999993</v>
      </c>
      <c r="N320" t="str" cm="1">
        <f t="array" ref="N320">_xlfn.IFS(I320="rob","Robusta",I320="exc","Excesla",I320="ara","Arabica",I320="lib","Liberica")</f>
        <v>Arabica</v>
      </c>
      <c r="O320" t="str" cm="1">
        <f t="array" ref="O320">_xlfn.IFS(J320="m","Medium",J320="l","Light",J320="d","Dark")</f>
        <v>Medium</v>
      </c>
      <c r="P320" t="str">
        <f>_xlfn.XLOOKUP(orders[[#This Row],[Customer ID]],customers!$A$2:$A$1001,customers!$I$2:$I$1001,,0)</f>
        <v>Yes</v>
      </c>
    </row>
    <row r="321" spans="1:16" x14ac:dyDescent="0.3">
      <c r="A321" s="2" t="s">
        <v>2291</v>
      </c>
      <c r="B321" s="6">
        <v>43676</v>
      </c>
      <c r="C321" s="2" t="s">
        <v>2292</v>
      </c>
      <c r="D321" t="s">
        <v>6156</v>
      </c>
      <c r="E321" s="2">
        <v>2</v>
      </c>
      <c r="F321" s="2" t="str">
        <f>_xlfn.XLOOKUP(C321,customers!$A$1:$A$1001,customers!$B$1:$B$1001,,0,1)</f>
        <v>Gabie Tweed</v>
      </c>
      <c r="G321" s="2" t="str">
        <f>IF((_xlfn.XLOOKUP(C321,customers!$A$2:$A$1001,customers!$C$2:$C$1001,,,)=0),"",(_xlfn.XLOOKUP(C321,customers!$A$2:$A$1001,customers!$C$2:$C$1001,,0,)))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4"/>
        <v>8.25</v>
      </c>
      <c r="N321" t="str" cm="1">
        <f t="array" ref="N321">_xlfn.IFS(I321="rob","Robusta",I321="exc","Excesla",I321="ara","Arabica",I321="lib","Liberica")</f>
        <v>Excesla</v>
      </c>
      <c r="O321" t="str" cm="1">
        <f t="array" ref="O321">_xlfn.IFS(J321="m","Medium",J321="l","Light",J321="d","Dark")</f>
        <v>Medium</v>
      </c>
      <c r="P321" t="str">
        <f>_xlfn.XLOOKUP(orders[[#This Row],[Customer ID]],customers!$A$2:$A$1001,customers!$I$2:$I$1001,,0)</f>
        <v>Yes</v>
      </c>
    </row>
    <row r="322" spans="1:16" x14ac:dyDescent="0.3">
      <c r="A322" s="2" t="s">
        <v>2291</v>
      </c>
      <c r="B322" s="6">
        <v>43676</v>
      </c>
      <c r="C322" s="2" t="s">
        <v>2292</v>
      </c>
      <c r="D322" t="s">
        <v>6167</v>
      </c>
      <c r="E322" s="2">
        <v>5</v>
      </c>
      <c r="F322" s="2" t="str">
        <f>_xlfn.XLOOKUP(C322,customers!$A$1:$A$1001,customers!$B$1:$B$1001,,0,1)</f>
        <v>Gabie Tweed</v>
      </c>
      <c r="G322" s="2" t="str">
        <f>IF((_xlfn.XLOOKUP(C322,customers!$A$2:$A$1001,customers!$C$2:$C$1001,,,)=0),"",(_xlfn.XLOOKUP(C322,customers!$A$2:$A$1001,customers!$C$2:$C$1001,,0,)))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4"/>
        <v>19.424999999999997</v>
      </c>
      <c r="N322" t="str" cm="1">
        <f t="array" ref="N322">_xlfn.IFS(I322="rob","Robusta",I322="exc","Excesla",I322="ara","Arabica",I322="lib","Liberica")</f>
        <v>Arabica</v>
      </c>
      <c r="O322" t="str" cm="1">
        <f t="array" ref="O322">_xlfn.IFS(J322="m","Medium",J322="l","Light",J322="d","Dark")</f>
        <v>Light</v>
      </c>
      <c r="P322" t="str">
        <f>_xlfn.XLOOKUP(orders[[#This Row],[Customer ID]],customers!$A$2:$A$1001,customers!$I$2:$I$1001,,0)</f>
        <v>Yes</v>
      </c>
    </row>
    <row r="323" spans="1:16" x14ac:dyDescent="0.3">
      <c r="A323" s="2" t="s">
        <v>2301</v>
      </c>
      <c r="B323" s="6">
        <v>44170</v>
      </c>
      <c r="C323" s="2" t="s">
        <v>2302</v>
      </c>
      <c r="D323" t="s">
        <v>6152</v>
      </c>
      <c r="E323" s="2">
        <v>6</v>
      </c>
      <c r="F323" s="2" t="str">
        <f>_xlfn.XLOOKUP(C323,customers!$A$1:$A$1001,customers!$B$1:$B$1001,,0,1)</f>
        <v>Gaile Goggin</v>
      </c>
      <c r="G323" s="2" t="str">
        <f>IF((_xlfn.XLOOKUP(C323,customers!$A$2:$A$1001,customers!$C$2:$C$1001,,,)=0),"",(_xlfn.XLOOKUP(C323,customers!$A$2:$A$1001,customers!$C$2:$C$1001,,0,)))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5">L323*E323</f>
        <v>20.25</v>
      </c>
      <c r="N323" t="str" cm="1">
        <f t="array" ref="N323">_xlfn.IFS(I323="rob","Robusta",I323="exc","Excesla",I323="ara","Arabica",I323="lib","Liberica")</f>
        <v>Arabica</v>
      </c>
      <c r="O323" t="str" cm="1">
        <f t="array" ref="O323">_xlfn.IFS(J323="m","Medium",J323="l","Light",J323="d","Dark")</f>
        <v>Medium</v>
      </c>
      <c r="P323" t="str">
        <f>_xlfn.XLOOKUP(orders[[#This Row],[Customer ID]],customers!$A$2:$A$1001,customers!$I$2:$I$1001,,0)</f>
        <v>Yes</v>
      </c>
    </row>
    <row r="324" spans="1:16" x14ac:dyDescent="0.3">
      <c r="A324" s="2" t="s">
        <v>2307</v>
      </c>
      <c r="B324" s="6">
        <v>44182</v>
      </c>
      <c r="C324" s="2" t="s">
        <v>2308</v>
      </c>
      <c r="D324" t="s">
        <v>6169</v>
      </c>
      <c r="E324" s="2">
        <v>3</v>
      </c>
      <c r="F324" s="2" t="str">
        <f>_xlfn.XLOOKUP(C324,customers!$A$1:$A$1001,customers!$B$1:$B$1001,,0,1)</f>
        <v>Skylar Jeyness</v>
      </c>
      <c r="G324" s="2" t="str">
        <f>IF((_xlfn.XLOOKUP(C324,customers!$A$2:$A$1001,customers!$C$2:$C$1001,,,)=0),"",(_xlfn.XLOOKUP(C324,customers!$A$2:$A$1001,customers!$C$2:$C$1001,,0,)))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5"/>
        <v>23.31</v>
      </c>
      <c r="N324" t="str" cm="1">
        <f t="array" ref="N324">_xlfn.IFS(I324="rob","Robusta",I324="exc","Excesla",I324="ara","Arabica",I324="lib","Liberica")</f>
        <v>Liberica</v>
      </c>
      <c r="O324" t="str" cm="1">
        <f t="array" ref="O324">_xlfn.IFS(J324="m","Medium",J324="l","Light",J324="d","Dark")</f>
        <v>Dark</v>
      </c>
      <c r="P324" t="str">
        <f>_xlfn.XLOOKUP(orders[[#This Row],[Customer ID]],customers!$A$2:$A$1001,customers!$I$2:$I$1001,,0)</f>
        <v>No</v>
      </c>
    </row>
    <row r="325" spans="1:16" x14ac:dyDescent="0.3">
      <c r="A325" s="2" t="s">
        <v>2313</v>
      </c>
      <c r="B325" s="6">
        <v>44373</v>
      </c>
      <c r="C325" s="2" t="s">
        <v>2314</v>
      </c>
      <c r="D325" t="s">
        <v>6153</v>
      </c>
      <c r="E325" s="2">
        <v>5</v>
      </c>
      <c r="F325" s="2" t="str">
        <f>_xlfn.XLOOKUP(C325,customers!$A$1:$A$1001,customers!$B$1:$B$1001,,0,1)</f>
        <v>Donica Bonhome</v>
      </c>
      <c r="G325" s="2" t="str">
        <f>IF((_xlfn.XLOOKUP(C325,customers!$A$2:$A$1001,customers!$C$2:$C$1001,,,)=0),"",(_xlfn.XLOOKUP(C325,customers!$A$2:$A$1001,customers!$C$2:$C$1001,,0,)))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5"/>
        <v>18.225000000000001</v>
      </c>
      <c r="N325" t="str" cm="1">
        <f t="array" ref="N325">_xlfn.IFS(I325="rob","Robusta",I325="exc","Excesla",I325="ara","Arabica",I325="lib","Liberica")</f>
        <v>Excesla</v>
      </c>
      <c r="O325" t="str" cm="1">
        <f t="array" ref="O325">_xlfn.IFS(J325="m","Medium",J325="l","Light",J325="d","Dark")</f>
        <v>Dark</v>
      </c>
      <c r="P325" t="str">
        <f>_xlfn.XLOOKUP(orders[[#This Row],[Customer ID]],customers!$A$2:$A$1001,customers!$I$2:$I$1001,,0)</f>
        <v>Yes</v>
      </c>
    </row>
    <row r="326" spans="1:16" x14ac:dyDescent="0.3">
      <c r="A326" s="2" t="s">
        <v>2319</v>
      </c>
      <c r="B326" s="6">
        <v>43666</v>
      </c>
      <c r="C326" s="2" t="s">
        <v>2320</v>
      </c>
      <c r="D326" t="s">
        <v>6141</v>
      </c>
      <c r="E326" s="2">
        <v>1</v>
      </c>
      <c r="F326" s="2" t="str">
        <f>_xlfn.XLOOKUP(C326,customers!$A$1:$A$1001,customers!$B$1:$B$1001,,0,1)</f>
        <v>Diena Peetermann</v>
      </c>
      <c r="G326" s="2" t="str">
        <f>IF((_xlfn.XLOOKUP(C326,customers!$A$2:$A$1001,customers!$C$2:$C$1001,,,)=0),"",(_xlfn.XLOOKUP(C326,customers!$A$2:$A$1001,customers!$C$2:$C$1001,,0,)))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5"/>
        <v>13.75</v>
      </c>
      <c r="N326" t="str" cm="1">
        <f t="array" ref="N326">_xlfn.IFS(I326="rob","Robusta",I326="exc","Excesla",I326="ara","Arabica",I326="lib","Liberica")</f>
        <v>Excesla</v>
      </c>
      <c r="O326" t="str" cm="1">
        <f t="array" ref="O326">_xlfn.IFS(J326="m","Medium",J326="l","Light",J326="d","Dark")</f>
        <v>Medium</v>
      </c>
      <c r="P326" t="str">
        <f>_xlfn.XLOOKUP(orders[[#This Row],[Customer ID]],customers!$A$2:$A$1001,customers!$I$2:$I$1001,,0)</f>
        <v>No</v>
      </c>
    </row>
    <row r="327" spans="1:16" x14ac:dyDescent="0.3">
      <c r="A327" s="2" t="s">
        <v>2324</v>
      </c>
      <c r="B327" s="6">
        <v>44756</v>
      </c>
      <c r="C327" s="2" t="s">
        <v>2325</v>
      </c>
      <c r="D327" t="s">
        <v>6182</v>
      </c>
      <c r="E327" s="2">
        <v>1</v>
      </c>
      <c r="F327" s="2" t="str">
        <f>_xlfn.XLOOKUP(C327,customers!$A$1:$A$1001,customers!$B$1:$B$1001,,0,1)</f>
        <v>Trina Le Sarr</v>
      </c>
      <c r="G327" s="2" t="str">
        <f>IF((_xlfn.XLOOKUP(C327,customers!$A$2:$A$1001,customers!$C$2:$C$1001,,,)=0),"",(_xlfn.XLOOKUP(C327,customers!$A$2:$A$1001,customers!$C$2:$C$1001,,0,)))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5"/>
        <v>29.784999999999997</v>
      </c>
      <c r="N327" t="str" cm="1">
        <f t="array" ref="N327">_xlfn.IFS(I327="rob","Robusta",I327="exc","Excesla",I327="ara","Arabica",I327="lib","Liberica")</f>
        <v>Arabica</v>
      </c>
      <c r="O327" t="str" cm="1">
        <f t="array" ref="O327">_xlfn.IFS(J327="m","Medium",J327="l","Light",J327="d","Dark")</f>
        <v>Light</v>
      </c>
      <c r="P327" t="str">
        <f>_xlfn.XLOOKUP(orders[[#This Row],[Customer ID]],customers!$A$2:$A$1001,customers!$I$2:$I$1001,,0)</f>
        <v>Yes</v>
      </c>
    </row>
    <row r="328" spans="1:16" x14ac:dyDescent="0.3">
      <c r="A328" s="2" t="s">
        <v>2330</v>
      </c>
      <c r="B328" s="6">
        <v>44057</v>
      </c>
      <c r="C328" s="2" t="s">
        <v>2331</v>
      </c>
      <c r="D328" t="s">
        <v>6177</v>
      </c>
      <c r="E328" s="2">
        <v>5</v>
      </c>
      <c r="F328" s="2" t="str">
        <f>_xlfn.XLOOKUP(C328,customers!$A$1:$A$1001,customers!$B$1:$B$1001,,0,1)</f>
        <v>Flynn Antony</v>
      </c>
      <c r="G328" s="2" t="str">
        <f>IF((_xlfn.XLOOKUP(C328,customers!$A$2:$A$1001,customers!$C$2:$C$1001,,,)=0),"",(_xlfn.XLOOKUP(C328,customers!$A$2:$A$1001,customers!$C$2:$C$1001,,0,)))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5"/>
        <v>44.75</v>
      </c>
      <c r="N328" t="str" cm="1">
        <f t="array" ref="N328">_xlfn.IFS(I328="rob","Robusta",I328="exc","Excesla",I328="ara","Arabica",I328="lib","Liberica")</f>
        <v>Robusta</v>
      </c>
      <c r="O328" t="str" cm="1">
        <f t="array" ref="O328">_xlfn.IFS(J328="m","Medium",J328="l","Light",J328="d","Dark")</f>
        <v>Dark</v>
      </c>
      <c r="P328" t="str">
        <f>_xlfn.XLOOKUP(orders[[#This Row],[Customer ID]],customers!$A$2:$A$1001,customers!$I$2:$I$1001,,0)</f>
        <v>No</v>
      </c>
    </row>
    <row r="329" spans="1:16" x14ac:dyDescent="0.3">
      <c r="A329" s="2" t="s">
        <v>2335</v>
      </c>
      <c r="B329" s="6">
        <v>43579</v>
      </c>
      <c r="C329" s="2" t="s">
        <v>2336</v>
      </c>
      <c r="D329" t="s">
        <v>6177</v>
      </c>
      <c r="E329" s="2">
        <v>5</v>
      </c>
      <c r="F329" s="2" t="str">
        <f>_xlfn.XLOOKUP(C329,customers!$A$1:$A$1001,customers!$B$1:$B$1001,,0,1)</f>
        <v>Baudoin Alldridge</v>
      </c>
      <c r="G329" s="2" t="str">
        <f>IF((_xlfn.XLOOKUP(C329,customers!$A$2:$A$1001,customers!$C$2:$C$1001,,,)=0),"",(_xlfn.XLOOKUP(C329,customers!$A$2:$A$1001,customers!$C$2:$C$1001,,0,)))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5"/>
        <v>44.75</v>
      </c>
      <c r="N329" t="str" cm="1">
        <f t="array" ref="N329">_xlfn.IFS(I329="rob","Robusta",I329="exc","Excesla",I329="ara","Arabica",I329="lib","Liberica")</f>
        <v>Robusta</v>
      </c>
      <c r="O329" t="str" cm="1">
        <f t="array" ref="O329">_xlfn.IFS(J329="m","Medium",J329="l","Light",J329="d","Dark")</f>
        <v>Dark</v>
      </c>
      <c r="P329" t="str">
        <f>_xlfn.XLOOKUP(orders[[#This Row],[Customer ID]],customers!$A$2:$A$1001,customers!$I$2:$I$1001,,0)</f>
        <v>Yes</v>
      </c>
    </row>
    <row r="330" spans="1:16" x14ac:dyDescent="0.3">
      <c r="A330" s="2" t="s">
        <v>2341</v>
      </c>
      <c r="B330" s="6">
        <v>43620</v>
      </c>
      <c r="C330" s="2" t="s">
        <v>2342</v>
      </c>
      <c r="D330" t="s">
        <v>6161</v>
      </c>
      <c r="E330" s="2">
        <v>4</v>
      </c>
      <c r="F330" s="2" t="str">
        <f>_xlfn.XLOOKUP(C330,customers!$A$1:$A$1001,customers!$B$1:$B$1001,,0,1)</f>
        <v>Homer Dulany</v>
      </c>
      <c r="G330" s="2" t="str">
        <f>IF((_xlfn.XLOOKUP(C330,customers!$A$2:$A$1001,customers!$C$2:$C$1001,,,)=0),"",(_xlfn.XLOOKUP(C330,customers!$A$2:$A$1001,customers!$C$2:$C$1001,,0,)))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5"/>
        <v>38.04</v>
      </c>
      <c r="N330" t="str" cm="1">
        <f t="array" ref="N330">_xlfn.IFS(I330="rob","Robusta",I330="exc","Excesla",I330="ara","Arabica",I330="lib","Liberica")</f>
        <v>Liberica</v>
      </c>
      <c r="O330" t="str" cm="1">
        <f t="array" ref="O330">_xlfn.IFS(J330="m","Medium",J330="l","Light",J330="d","Dark")</f>
        <v>Light</v>
      </c>
      <c r="P330" t="str">
        <f>_xlfn.XLOOKUP(orders[[#This Row],[Customer ID]],customers!$A$2:$A$1001,customers!$I$2:$I$1001,,0)</f>
        <v>Yes</v>
      </c>
    </row>
    <row r="331" spans="1:16" x14ac:dyDescent="0.3">
      <c r="A331" s="2" t="s">
        <v>2346</v>
      </c>
      <c r="B331" s="6">
        <v>44781</v>
      </c>
      <c r="C331" s="2" t="s">
        <v>2347</v>
      </c>
      <c r="D331" t="s">
        <v>6172</v>
      </c>
      <c r="E331" s="2">
        <v>4</v>
      </c>
      <c r="F331" s="2" t="str">
        <f>_xlfn.XLOOKUP(C331,customers!$A$1:$A$1001,customers!$B$1:$B$1001,,0,1)</f>
        <v>Lisa Goodger</v>
      </c>
      <c r="G331" s="2" t="str">
        <f>IF((_xlfn.XLOOKUP(C331,customers!$A$2:$A$1001,customers!$C$2:$C$1001,,,)=0),"",(_xlfn.XLOOKUP(C331,customers!$A$2:$A$1001,customers!$C$2:$C$1001,,0,)))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5"/>
        <v>21.479999999999997</v>
      </c>
      <c r="N331" t="str" cm="1">
        <f t="array" ref="N331">_xlfn.IFS(I331="rob","Robusta",I331="exc","Excesla",I331="ara","Arabica",I331="lib","Liberica")</f>
        <v>Robusta</v>
      </c>
      <c r="O331" t="str" cm="1">
        <f t="array" ref="O331">_xlfn.IFS(J331="m","Medium",J331="l","Light",J331="d","Dark")</f>
        <v>Dark</v>
      </c>
      <c r="P331" t="str">
        <f>_xlfn.XLOOKUP(orders[[#This Row],[Customer ID]],customers!$A$2:$A$1001,customers!$I$2:$I$1001,,0)</f>
        <v>Yes</v>
      </c>
    </row>
    <row r="332" spans="1:16" x14ac:dyDescent="0.3">
      <c r="A332" s="2" t="s">
        <v>2351</v>
      </c>
      <c r="B332" s="6">
        <v>43782</v>
      </c>
      <c r="C332" s="2" t="s">
        <v>2280</v>
      </c>
      <c r="D332" t="s">
        <v>6172</v>
      </c>
      <c r="E332" s="2">
        <v>3</v>
      </c>
      <c r="F332" s="2" t="str">
        <f>_xlfn.XLOOKUP(C332,customers!$A$1:$A$1001,customers!$B$1:$B$1001,,0,1)</f>
        <v>Selma McMillian</v>
      </c>
      <c r="G332" s="2" t="str">
        <f>IF((_xlfn.XLOOKUP(C332,customers!$A$2:$A$1001,customers!$C$2:$C$1001,,,)=0),"",(_xlfn.XLOOKUP(C332,customers!$A$2:$A$1001,customers!$C$2:$C$1001,,0,)))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5"/>
        <v>16.11</v>
      </c>
      <c r="N332" t="str" cm="1">
        <f t="array" ref="N332">_xlfn.IFS(I332="rob","Robusta",I332="exc","Excesla",I332="ara","Arabica",I332="lib","Liberica")</f>
        <v>Robusta</v>
      </c>
      <c r="O332" t="str" cm="1">
        <f t="array" ref="O332">_xlfn.IFS(J332="m","Medium",J332="l","Light",J332="d","Dark")</f>
        <v>Dark</v>
      </c>
      <c r="P332" t="str">
        <f>_xlfn.XLOOKUP(orders[[#This Row],[Customer ID]],customers!$A$2:$A$1001,customers!$I$2:$I$1001,,0)</f>
        <v>No</v>
      </c>
    </row>
    <row r="333" spans="1:16" x14ac:dyDescent="0.3">
      <c r="A333" s="2" t="s">
        <v>2357</v>
      </c>
      <c r="B333" s="6">
        <v>43989</v>
      </c>
      <c r="C333" s="2" t="s">
        <v>2358</v>
      </c>
      <c r="D333" t="s">
        <v>6151</v>
      </c>
      <c r="E333" s="2">
        <v>1</v>
      </c>
      <c r="F333" s="2" t="str">
        <f>_xlfn.XLOOKUP(C333,customers!$A$1:$A$1001,customers!$B$1:$B$1001,,0,1)</f>
        <v>Corine Drewett</v>
      </c>
      <c r="G333" s="2" t="str">
        <f>IF((_xlfn.XLOOKUP(C333,customers!$A$2:$A$1001,customers!$C$2:$C$1001,,,)=0),"",(_xlfn.XLOOKUP(C333,customers!$A$2:$A$1001,customers!$C$2:$C$1001,,0,)))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5"/>
        <v>22.884999999999998</v>
      </c>
      <c r="N333" t="str" cm="1">
        <f t="array" ref="N333">_xlfn.IFS(I333="rob","Robusta",I333="exc","Excesla",I333="ara","Arabica",I333="lib","Liberica")</f>
        <v>Robusta</v>
      </c>
      <c r="O333" t="str" cm="1">
        <f t="array" ref="O333">_xlfn.IFS(J333="m","Medium",J333="l","Light",J333="d","Dark")</f>
        <v>Medium</v>
      </c>
      <c r="P333" t="str">
        <f>_xlfn.XLOOKUP(orders[[#This Row],[Customer ID]],customers!$A$2:$A$1001,customers!$I$2:$I$1001,,0)</f>
        <v>Yes</v>
      </c>
    </row>
    <row r="334" spans="1:16" x14ac:dyDescent="0.3">
      <c r="A334" s="2" t="s">
        <v>2363</v>
      </c>
      <c r="B334" s="6">
        <v>43689</v>
      </c>
      <c r="C334" s="2" t="s">
        <v>2364</v>
      </c>
      <c r="D334" t="s">
        <v>6158</v>
      </c>
      <c r="E334" s="2">
        <v>3</v>
      </c>
      <c r="F334" s="2" t="str">
        <f>_xlfn.XLOOKUP(C334,customers!$A$1:$A$1001,customers!$B$1:$B$1001,,0,1)</f>
        <v>Quinn Parsons</v>
      </c>
      <c r="G334" s="2" t="str">
        <f>IF((_xlfn.XLOOKUP(C334,customers!$A$2:$A$1001,customers!$C$2:$C$1001,,,)=0),"",(_xlfn.XLOOKUP(C334,customers!$A$2:$A$1001,customers!$C$2:$C$1001,,0,)))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5"/>
        <v>17.91</v>
      </c>
      <c r="N334" t="str" cm="1">
        <f t="array" ref="N334">_xlfn.IFS(I334="rob","Robusta",I334="exc","Excesla",I334="ara","Arabica",I334="lib","Liberica")</f>
        <v>Arabica</v>
      </c>
      <c r="O334" t="str" cm="1">
        <f t="array" ref="O334">_xlfn.IFS(J334="m","Medium",J334="l","Light",J334="d","Dark")</f>
        <v>Dark</v>
      </c>
      <c r="P334" t="str">
        <f>_xlfn.XLOOKUP(orders[[#This Row],[Customer ID]],customers!$A$2:$A$1001,customers!$I$2:$I$1001,,0)</f>
        <v>Yes</v>
      </c>
    </row>
    <row r="335" spans="1:16" x14ac:dyDescent="0.3">
      <c r="A335" s="2" t="s">
        <v>2369</v>
      </c>
      <c r="B335" s="6">
        <v>43712</v>
      </c>
      <c r="C335" s="2" t="s">
        <v>2370</v>
      </c>
      <c r="D335" t="s">
        <v>6146</v>
      </c>
      <c r="E335" s="2">
        <v>4</v>
      </c>
      <c r="F335" s="2" t="str">
        <f>_xlfn.XLOOKUP(C335,customers!$A$1:$A$1001,customers!$B$1:$B$1001,,0,1)</f>
        <v>Vivyan Ceely</v>
      </c>
      <c r="G335" s="2" t="str">
        <f>IF((_xlfn.XLOOKUP(C335,customers!$A$2:$A$1001,customers!$C$2:$C$1001,,,)=0),"",(_xlfn.XLOOKUP(C335,customers!$A$2:$A$1001,customers!$C$2:$C$1001,,0,)))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5"/>
        <v>23.88</v>
      </c>
      <c r="N335" t="str" cm="1">
        <f t="array" ref="N335">_xlfn.IFS(I335="rob","Robusta",I335="exc","Excesla",I335="ara","Arabica",I335="lib","Liberica")</f>
        <v>Robusta</v>
      </c>
      <c r="O335" t="str" cm="1">
        <f t="array" ref="O335">_xlfn.IFS(J335="m","Medium",J335="l","Light",J335="d","Dark")</f>
        <v>Medium</v>
      </c>
      <c r="P335" t="str">
        <f>_xlfn.XLOOKUP(orders[[#This Row],[Customer ID]],customers!$A$2:$A$1001,customers!$I$2:$I$1001,,0)</f>
        <v>Yes</v>
      </c>
    </row>
    <row r="336" spans="1:16" x14ac:dyDescent="0.3">
      <c r="A336" s="2" t="s">
        <v>2375</v>
      </c>
      <c r="B336" s="6">
        <v>43742</v>
      </c>
      <c r="C336" s="2" t="s">
        <v>2376</v>
      </c>
      <c r="D336" t="s">
        <v>6179</v>
      </c>
      <c r="E336" s="2">
        <v>5</v>
      </c>
      <c r="F336" s="2" t="str">
        <f>_xlfn.XLOOKUP(C336,customers!$A$1:$A$1001,customers!$B$1:$B$1001,,0,1)</f>
        <v>Elonore Goodings</v>
      </c>
      <c r="G336" s="2" t="str">
        <f>IF((_xlfn.XLOOKUP(C336,customers!$A$2:$A$1001,customers!$C$2:$C$1001,,,)=0),"",(_xlfn.XLOOKUP(C336,customers!$A$2:$A$1001,customers!$C$2:$C$1001,,0,)))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5"/>
        <v>59.75</v>
      </c>
      <c r="N336" t="str" cm="1">
        <f t="array" ref="N336">_xlfn.IFS(I336="rob","Robusta",I336="exc","Excesla",I336="ara","Arabica",I336="lib","Liberica")</f>
        <v>Robusta</v>
      </c>
      <c r="O336" t="str" cm="1">
        <f t="array" ref="O336">_xlfn.IFS(J336="m","Medium",J336="l","Light",J336="d","Dark")</f>
        <v>Light</v>
      </c>
      <c r="P336" t="str">
        <f>_xlfn.XLOOKUP(orders[[#This Row],[Customer ID]],customers!$A$2:$A$1001,customers!$I$2:$I$1001,,0)</f>
        <v>No</v>
      </c>
    </row>
    <row r="337" spans="1:16" x14ac:dyDescent="0.3">
      <c r="A337" s="2" t="s">
        <v>2379</v>
      </c>
      <c r="B337" s="6">
        <v>43885</v>
      </c>
      <c r="C337" s="2" t="s">
        <v>2380</v>
      </c>
      <c r="D337" t="s">
        <v>6145</v>
      </c>
      <c r="E337" s="2">
        <v>6</v>
      </c>
      <c r="F337" s="2" t="str">
        <f>_xlfn.XLOOKUP(C337,customers!$A$1:$A$1001,customers!$B$1:$B$1001,,0,1)</f>
        <v>Clement Vasiliev</v>
      </c>
      <c r="G337" s="2" t="str">
        <f>IF((_xlfn.XLOOKUP(C337,customers!$A$2:$A$1001,customers!$C$2:$C$1001,,,)=0),"",(_xlfn.XLOOKUP(C337,customers!$A$2:$A$1001,customers!$C$2:$C$1001,,0,)))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5"/>
        <v>28.53</v>
      </c>
      <c r="N337" t="str" cm="1">
        <f t="array" ref="N337">_xlfn.IFS(I337="rob","Robusta",I337="exc","Excesla",I337="ara","Arabica",I337="lib","Liberica")</f>
        <v>Liberica</v>
      </c>
      <c r="O337" t="str" cm="1">
        <f t="array" ref="O337">_xlfn.IFS(J337="m","Medium",J337="l","Light",J337="d","Dark")</f>
        <v>Light</v>
      </c>
      <c r="P337" t="str">
        <f>_xlfn.XLOOKUP(orders[[#This Row],[Customer ID]],customers!$A$2:$A$1001,customers!$I$2:$I$1001,,0)</f>
        <v>Yes</v>
      </c>
    </row>
    <row r="338" spans="1:16" x14ac:dyDescent="0.3">
      <c r="A338" s="2" t="s">
        <v>2385</v>
      </c>
      <c r="B338" s="6">
        <v>44434</v>
      </c>
      <c r="C338" s="2" t="s">
        <v>2386</v>
      </c>
      <c r="D338" t="s">
        <v>6155</v>
      </c>
      <c r="E338" s="2">
        <v>4</v>
      </c>
      <c r="F338" s="2" t="str">
        <f>_xlfn.XLOOKUP(C338,customers!$A$1:$A$1001,customers!$B$1:$B$1001,,0,1)</f>
        <v>Terencio O'Moylan</v>
      </c>
      <c r="G338" s="2" t="str">
        <f>IF((_xlfn.XLOOKUP(C338,customers!$A$2:$A$1001,customers!$C$2:$C$1001,,,)=0),"",(_xlfn.XLOOKUP(C338,customers!$A$2:$A$1001,customers!$C$2:$C$1001,,0,)))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5"/>
        <v>45</v>
      </c>
      <c r="N338" t="str" cm="1">
        <f t="array" ref="N338">_xlfn.IFS(I338="rob","Robusta",I338="exc","Excesla",I338="ara","Arabica",I338="lib","Liberica")</f>
        <v>Arabica</v>
      </c>
      <c r="O338" t="str" cm="1">
        <f t="array" ref="O338">_xlfn.IFS(J338="m","Medium",J338="l","Light",J338="d","Dark")</f>
        <v>Medium</v>
      </c>
      <c r="P338" t="str">
        <f>_xlfn.XLOOKUP(orders[[#This Row],[Customer ID]],customers!$A$2:$A$1001,customers!$I$2:$I$1001,,0)</f>
        <v>No</v>
      </c>
    </row>
    <row r="339" spans="1:16" x14ac:dyDescent="0.3">
      <c r="A339" s="2" t="s">
        <v>2391</v>
      </c>
      <c r="B339" s="6">
        <v>44472</v>
      </c>
      <c r="C339" s="2" t="s">
        <v>2331</v>
      </c>
      <c r="D339" t="s">
        <v>6185</v>
      </c>
      <c r="E339" s="2">
        <v>2</v>
      </c>
      <c r="F339" s="2" t="str">
        <f>_xlfn.XLOOKUP(C339,customers!$A$1:$A$1001,customers!$B$1:$B$1001,,0,1)</f>
        <v>Flynn Antony</v>
      </c>
      <c r="G339" s="2" t="str">
        <f>IF((_xlfn.XLOOKUP(C339,customers!$A$2:$A$1001,customers!$C$2:$C$1001,,,)=0),"",(_xlfn.XLOOKUP(C339,customers!$A$2:$A$1001,customers!$C$2:$C$1001,,0,)))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5"/>
        <v>55.89</v>
      </c>
      <c r="N339" t="str" cm="1">
        <f t="array" ref="N339">_xlfn.IFS(I339="rob","Robusta",I339="exc","Excesla",I339="ara","Arabica",I339="lib","Liberica")</f>
        <v>Excesla</v>
      </c>
      <c r="O339" t="str" cm="1">
        <f t="array" ref="O339">_xlfn.IFS(J339="m","Medium",J339="l","Light",J339="d","Dark")</f>
        <v>Dark</v>
      </c>
      <c r="P339" t="str">
        <f>_xlfn.XLOOKUP(orders[[#This Row],[Customer ID]],customers!$A$2:$A$1001,customers!$I$2:$I$1001,,0)</f>
        <v>No</v>
      </c>
    </row>
    <row r="340" spans="1:16" x14ac:dyDescent="0.3">
      <c r="A340" s="2" t="s">
        <v>2396</v>
      </c>
      <c r="B340" s="6">
        <v>43995</v>
      </c>
      <c r="C340" s="2" t="s">
        <v>2397</v>
      </c>
      <c r="D340" t="s">
        <v>6171</v>
      </c>
      <c r="E340" s="2">
        <v>4</v>
      </c>
      <c r="F340" s="2" t="str">
        <f>_xlfn.XLOOKUP(C340,customers!$A$1:$A$1001,customers!$B$1:$B$1001,,0,1)</f>
        <v>Wyatan Fetherston</v>
      </c>
      <c r="G340" s="2" t="str">
        <f>IF((_xlfn.XLOOKUP(C340,customers!$A$2:$A$1001,customers!$C$2:$C$1001,,,)=0),"",(_xlfn.XLOOKUP(C340,customers!$A$2:$A$1001,customers!$C$2:$C$1001,,0,)))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5"/>
        <v>59.4</v>
      </c>
      <c r="N340" t="str" cm="1">
        <f t="array" ref="N340">_xlfn.IFS(I340="rob","Robusta",I340="exc","Excesla",I340="ara","Arabica",I340="lib","Liberica")</f>
        <v>Excesla</v>
      </c>
      <c r="O340" t="str" cm="1">
        <f t="array" ref="O340">_xlfn.IFS(J340="m","Medium",J340="l","Light",J340="d","Dark")</f>
        <v>Light</v>
      </c>
      <c r="P340" t="str">
        <f>_xlfn.XLOOKUP(orders[[#This Row],[Customer ID]],customers!$A$2:$A$1001,customers!$I$2:$I$1001,,0)</f>
        <v>No</v>
      </c>
    </row>
    <row r="341" spans="1:16" x14ac:dyDescent="0.3">
      <c r="A341" s="2" t="s">
        <v>2402</v>
      </c>
      <c r="B341" s="6">
        <v>44256</v>
      </c>
      <c r="C341" s="2" t="s">
        <v>2403</v>
      </c>
      <c r="D341" t="s">
        <v>6153</v>
      </c>
      <c r="E341" s="2">
        <v>2</v>
      </c>
      <c r="F341" s="2" t="str">
        <f>_xlfn.XLOOKUP(C341,customers!$A$1:$A$1001,customers!$B$1:$B$1001,,0,1)</f>
        <v>Emmaline Rasmus</v>
      </c>
      <c r="G341" s="2" t="str">
        <f>IF((_xlfn.XLOOKUP(C341,customers!$A$2:$A$1001,customers!$C$2:$C$1001,,,)=0),"",(_xlfn.XLOOKUP(C341,customers!$A$2:$A$1001,customers!$C$2:$C$1001,,0,)))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5"/>
        <v>7.29</v>
      </c>
      <c r="N341" t="str" cm="1">
        <f t="array" ref="N341">_xlfn.IFS(I341="rob","Robusta",I341="exc","Excesla",I341="ara","Arabica",I341="lib","Liberica")</f>
        <v>Excesla</v>
      </c>
      <c r="O341" t="str" cm="1">
        <f t="array" ref="O341">_xlfn.IFS(J341="m","Medium",J341="l","Light",J341="d","Dark")</f>
        <v>Dark</v>
      </c>
      <c r="P341" t="str">
        <f>_xlfn.XLOOKUP(orders[[#This Row],[Customer ID]],customers!$A$2:$A$1001,customers!$I$2:$I$1001,,0)</f>
        <v>Yes</v>
      </c>
    </row>
    <row r="342" spans="1:16" x14ac:dyDescent="0.3">
      <c r="A342" s="2" t="s">
        <v>2408</v>
      </c>
      <c r="B342" s="6">
        <v>43528</v>
      </c>
      <c r="C342" s="2" t="s">
        <v>2409</v>
      </c>
      <c r="D342" t="s">
        <v>6144</v>
      </c>
      <c r="E342" s="2">
        <v>1</v>
      </c>
      <c r="F342" s="2" t="str">
        <f>_xlfn.XLOOKUP(C342,customers!$A$1:$A$1001,customers!$B$1:$B$1001,,0,1)</f>
        <v>Wesley Giorgioni</v>
      </c>
      <c r="G342" s="2" t="str">
        <f>IF((_xlfn.XLOOKUP(C342,customers!$A$2:$A$1001,customers!$C$2:$C$1001,,,)=0),"",(_xlfn.XLOOKUP(C342,customers!$A$2:$A$1001,customers!$C$2:$C$1001,,0,)))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5"/>
        <v>7.29</v>
      </c>
      <c r="N342" t="str" cm="1">
        <f t="array" ref="N342">_xlfn.IFS(I342="rob","Robusta",I342="exc","Excesla",I342="ara","Arabica",I342="lib","Liberica")</f>
        <v>Excesla</v>
      </c>
      <c r="O342" t="str" cm="1">
        <f t="array" ref="O342">_xlfn.IFS(J342="m","Medium",J342="l","Light",J342="d","Dark")</f>
        <v>Dark</v>
      </c>
      <c r="P342" t="str">
        <f>_xlfn.XLOOKUP(orders[[#This Row],[Customer ID]],customers!$A$2:$A$1001,customers!$I$2:$I$1001,,0)</f>
        <v>Yes</v>
      </c>
    </row>
    <row r="343" spans="1:16" x14ac:dyDescent="0.3">
      <c r="A343" s="2" t="s">
        <v>2414</v>
      </c>
      <c r="B343" s="6">
        <v>43751</v>
      </c>
      <c r="C343" s="2" t="s">
        <v>2415</v>
      </c>
      <c r="D343" t="s">
        <v>6176</v>
      </c>
      <c r="E343" s="2">
        <v>2</v>
      </c>
      <c r="F343" s="2" t="str">
        <f>_xlfn.XLOOKUP(C343,customers!$A$1:$A$1001,customers!$B$1:$B$1001,,0,1)</f>
        <v>Lucienne Scargle</v>
      </c>
      <c r="G343" s="2" t="str">
        <f>IF((_xlfn.XLOOKUP(C343,customers!$A$2:$A$1001,customers!$C$2:$C$1001,,,)=0),"",(_xlfn.XLOOKUP(C343,customers!$A$2:$A$1001,customers!$C$2:$C$1001,,0,)))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5"/>
        <v>17.82</v>
      </c>
      <c r="N343" t="str" cm="1">
        <f t="array" ref="N343">_xlfn.IFS(I343="rob","Robusta",I343="exc","Excesla",I343="ara","Arabica",I343="lib","Liberica")</f>
        <v>Excesla</v>
      </c>
      <c r="O343" t="str" cm="1">
        <f t="array" ref="O343">_xlfn.IFS(J343="m","Medium",J343="l","Light",J343="d","Dark")</f>
        <v>Light</v>
      </c>
      <c r="P343" t="str">
        <f>_xlfn.XLOOKUP(orders[[#This Row],[Customer ID]],customers!$A$2:$A$1001,customers!$I$2:$I$1001,,0)</f>
        <v>No</v>
      </c>
    </row>
    <row r="344" spans="1:16" x14ac:dyDescent="0.3">
      <c r="A344" s="2" t="s">
        <v>2414</v>
      </c>
      <c r="B344" s="6">
        <v>43751</v>
      </c>
      <c r="C344" s="2" t="s">
        <v>2415</v>
      </c>
      <c r="D344" t="s">
        <v>6169</v>
      </c>
      <c r="E344" s="2">
        <v>5</v>
      </c>
      <c r="F344" s="2" t="str">
        <f>_xlfn.XLOOKUP(C344,customers!$A$1:$A$1001,customers!$B$1:$B$1001,,0,1)</f>
        <v>Lucienne Scargle</v>
      </c>
      <c r="G344" s="2" t="str">
        <f>IF((_xlfn.XLOOKUP(C344,customers!$A$2:$A$1001,customers!$C$2:$C$1001,,,)=0),"",(_xlfn.XLOOKUP(C344,customers!$A$2:$A$1001,customers!$C$2:$C$1001,,0,)))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5"/>
        <v>38.849999999999994</v>
      </c>
      <c r="N344" t="str" cm="1">
        <f t="array" ref="N344">_xlfn.IFS(I344="rob","Robusta",I344="exc","Excesla",I344="ara","Arabica",I344="lib","Liberica")</f>
        <v>Liberica</v>
      </c>
      <c r="O344" t="str" cm="1">
        <f t="array" ref="O344">_xlfn.IFS(J344="m","Medium",J344="l","Light",J344="d","Dark")</f>
        <v>Dark</v>
      </c>
      <c r="P344" t="str">
        <f>_xlfn.XLOOKUP(orders[[#This Row],[Customer ID]],customers!$A$2:$A$1001,customers!$I$2:$I$1001,,0)</f>
        <v>No</v>
      </c>
    </row>
    <row r="345" spans="1:16" x14ac:dyDescent="0.3">
      <c r="A345" s="2" t="s">
        <v>2424</v>
      </c>
      <c r="B345" s="6">
        <v>43692</v>
      </c>
      <c r="C345" s="2" t="s">
        <v>2425</v>
      </c>
      <c r="D345" t="s">
        <v>6172</v>
      </c>
      <c r="E345" s="2">
        <v>6</v>
      </c>
      <c r="F345" s="2" t="str">
        <f>_xlfn.XLOOKUP(C345,customers!$A$1:$A$1001,customers!$B$1:$B$1001,,0,1)</f>
        <v>Noam Climance</v>
      </c>
      <c r="G345" s="2" t="str">
        <f>IF((_xlfn.XLOOKUP(C345,customers!$A$2:$A$1001,customers!$C$2:$C$1001,,,)=0),"",(_xlfn.XLOOKUP(C345,customers!$A$2:$A$1001,customers!$C$2:$C$1001,,0,)))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5"/>
        <v>32.22</v>
      </c>
      <c r="N345" t="str" cm="1">
        <f t="array" ref="N345">_xlfn.IFS(I345="rob","Robusta",I345="exc","Excesla",I345="ara","Arabica",I345="lib","Liberica")</f>
        <v>Robusta</v>
      </c>
      <c r="O345" t="str" cm="1">
        <f t="array" ref="O345">_xlfn.IFS(J345="m","Medium",J345="l","Light",J345="d","Dark")</f>
        <v>Dark</v>
      </c>
      <c r="P345" t="str">
        <f>_xlfn.XLOOKUP(orders[[#This Row],[Customer ID]],customers!$A$2:$A$1001,customers!$I$2:$I$1001,,0)</f>
        <v>No</v>
      </c>
    </row>
    <row r="346" spans="1:16" x14ac:dyDescent="0.3">
      <c r="A346" s="2" t="s">
        <v>2429</v>
      </c>
      <c r="B346" s="6">
        <v>44529</v>
      </c>
      <c r="C346" s="2" t="s">
        <v>2430</v>
      </c>
      <c r="D346" t="s">
        <v>6138</v>
      </c>
      <c r="E346" s="2">
        <v>2</v>
      </c>
      <c r="F346" s="2" t="str">
        <f>_xlfn.XLOOKUP(C346,customers!$A$1:$A$1001,customers!$B$1:$B$1001,,0,1)</f>
        <v>Catarina Donn</v>
      </c>
      <c r="G346" s="2" t="str">
        <f>IF((_xlfn.XLOOKUP(C346,customers!$A$2:$A$1001,customers!$C$2:$C$1001,,,)=0),"",(_xlfn.XLOOKUP(C346,customers!$A$2:$A$1001,customers!$C$2:$C$1001,,0,)))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5"/>
        <v>19.899999999999999</v>
      </c>
      <c r="N346" t="str" cm="1">
        <f t="array" ref="N346">_xlfn.IFS(I346="rob","Robusta",I346="exc","Excesla",I346="ara","Arabica",I346="lib","Liberica")</f>
        <v>Robusta</v>
      </c>
      <c r="O346" t="str" cm="1">
        <f t="array" ref="O346">_xlfn.IFS(J346="m","Medium",J346="l","Light",J346="d","Dark")</f>
        <v>Medium</v>
      </c>
      <c r="P346" t="str">
        <f>_xlfn.XLOOKUP(orders[[#This Row],[Customer ID]],customers!$A$2:$A$1001,customers!$I$2:$I$1001,,0)</f>
        <v>Yes</v>
      </c>
    </row>
    <row r="347" spans="1:16" x14ac:dyDescent="0.3">
      <c r="A347" s="2" t="s">
        <v>2434</v>
      </c>
      <c r="B347" s="6">
        <v>43849</v>
      </c>
      <c r="C347" s="2" t="s">
        <v>2435</v>
      </c>
      <c r="D347" t="s">
        <v>6179</v>
      </c>
      <c r="E347" s="2">
        <v>5</v>
      </c>
      <c r="F347" s="2" t="str">
        <f>_xlfn.XLOOKUP(C347,customers!$A$1:$A$1001,customers!$B$1:$B$1001,,0,1)</f>
        <v>Ameline Snazle</v>
      </c>
      <c r="G347" s="2" t="str">
        <f>IF((_xlfn.XLOOKUP(C347,customers!$A$2:$A$1001,customers!$C$2:$C$1001,,,)=0),"",(_xlfn.XLOOKUP(C347,customers!$A$2:$A$1001,customers!$C$2:$C$1001,,0,)))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5"/>
        <v>59.75</v>
      </c>
      <c r="N347" t="str" cm="1">
        <f t="array" ref="N347">_xlfn.IFS(I347="rob","Robusta",I347="exc","Excesla",I347="ara","Arabica",I347="lib","Liberica")</f>
        <v>Robusta</v>
      </c>
      <c r="O347" t="str" cm="1">
        <f t="array" ref="O347">_xlfn.IFS(J347="m","Medium",J347="l","Light",J347="d","Dark")</f>
        <v>Light</v>
      </c>
      <c r="P347" t="str">
        <f>_xlfn.XLOOKUP(orders[[#This Row],[Customer ID]],customers!$A$2:$A$1001,customers!$I$2:$I$1001,,0)</f>
        <v>No</v>
      </c>
    </row>
    <row r="348" spans="1:16" x14ac:dyDescent="0.3">
      <c r="A348" s="2" t="s">
        <v>2440</v>
      </c>
      <c r="B348" s="6">
        <v>44344</v>
      </c>
      <c r="C348" s="2" t="s">
        <v>2441</v>
      </c>
      <c r="D348" t="s">
        <v>6180</v>
      </c>
      <c r="E348" s="2">
        <v>3</v>
      </c>
      <c r="F348" s="2" t="str">
        <f>_xlfn.XLOOKUP(C348,customers!$A$1:$A$1001,customers!$B$1:$B$1001,,0,1)</f>
        <v>Rebeka Worg</v>
      </c>
      <c r="G348" s="2" t="str">
        <f>IF((_xlfn.XLOOKUP(C348,customers!$A$2:$A$1001,customers!$C$2:$C$1001,,,)=0),"",(_xlfn.XLOOKUP(C348,customers!$A$2:$A$1001,customers!$C$2:$C$1001,,0,)))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5"/>
        <v>23.31</v>
      </c>
      <c r="N348" t="str" cm="1">
        <f t="array" ref="N348">_xlfn.IFS(I348="rob","Robusta",I348="exc","Excesla",I348="ara","Arabica",I348="lib","Liberica")</f>
        <v>Arabica</v>
      </c>
      <c r="O348" t="str" cm="1">
        <f t="array" ref="O348">_xlfn.IFS(J348="m","Medium",J348="l","Light",J348="d","Dark")</f>
        <v>Light</v>
      </c>
      <c r="P348" t="str">
        <f>_xlfn.XLOOKUP(orders[[#This Row],[Customer ID]],customers!$A$2:$A$1001,customers!$I$2:$I$1001,,0)</f>
        <v>Yes</v>
      </c>
    </row>
    <row r="349" spans="1:16" x14ac:dyDescent="0.3">
      <c r="A349" s="2" t="s">
        <v>2446</v>
      </c>
      <c r="B349" s="6">
        <v>44576</v>
      </c>
      <c r="C349" s="2" t="s">
        <v>2447</v>
      </c>
      <c r="D349" t="s">
        <v>6162</v>
      </c>
      <c r="E349" s="2">
        <v>3</v>
      </c>
      <c r="F349" s="2" t="str">
        <f>_xlfn.XLOOKUP(C349,customers!$A$1:$A$1001,customers!$B$1:$B$1001,,0,1)</f>
        <v>Lewes Danes</v>
      </c>
      <c r="G349" s="2" t="str">
        <f>IF((_xlfn.XLOOKUP(C349,customers!$A$2:$A$1001,customers!$C$2:$C$1001,,,)=0),"",(_xlfn.XLOOKUP(C349,customers!$A$2:$A$1001,customers!$C$2:$C$1001,,0,)))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5"/>
        <v>43.650000000000006</v>
      </c>
      <c r="N349" t="str" cm="1">
        <f t="array" ref="N349">_xlfn.IFS(I349="rob","Robusta",I349="exc","Excesla",I349="ara","Arabica",I349="lib","Liberica")</f>
        <v>Liberica</v>
      </c>
      <c r="O349" t="str" cm="1">
        <f t="array" ref="O349">_xlfn.IFS(J349="m","Medium",J349="l","Light",J349="d","Dark")</f>
        <v>Medium</v>
      </c>
      <c r="P349" t="str">
        <f>_xlfn.XLOOKUP(orders[[#This Row],[Customer ID]],customers!$A$2:$A$1001,customers!$I$2:$I$1001,,0)</f>
        <v>No</v>
      </c>
    </row>
    <row r="350" spans="1:16" x14ac:dyDescent="0.3">
      <c r="A350" s="2" t="s">
        <v>2452</v>
      </c>
      <c r="B350" s="6">
        <v>43803</v>
      </c>
      <c r="C350" s="2" t="s">
        <v>2453</v>
      </c>
      <c r="D350" t="s">
        <v>6148</v>
      </c>
      <c r="E350" s="2">
        <v>6</v>
      </c>
      <c r="F350" s="2" t="str">
        <f>_xlfn.XLOOKUP(C350,customers!$A$1:$A$1001,customers!$B$1:$B$1001,,0,1)</f>
        <v>Shelli Keynd</v>
      </c>
      <c r="G350" s="2" t="str">
        <f>IF((_xlfn.XLOOKUP(C350,customers!$A$2:$A$1001,customers!$C$2:$C$1001,,,)=0),"",(_xlfn.XLOOKUP(C350,customers!$A$2:$A$1001,customers!$C$2:$C$1001,,0,)))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5"/>
        <v>204.92999999999995</v>
      </c>
      <c r="N350" t="str" cm="1">
        <f t="array" ref="N350">_xlfn.IFS(I350="rob","Robusta",I350="exc","Excesla",I350="ara","Arabica",I350="lib","Liberica")</f>
        <v>Excesla</v>
      </c>
      <c r="O350" t="str" cm="1">
        <f t="array" ref="O350">_xlfn.IFS(J350="m","Medium",J350="l","Light",J350="d","Dark")</f>
        <v>Light</v>
      </c>
      <c r="P350" t="str">
        <f>_xlfn.XLOOKUP(orders[[#This Row],[Customer ID]],customers!$A$2:$A$1001,customers!$I$2:$I$1001,,0)</f>
        <v>No</v>
      </c>
    </row>
    <row r="351" spans="1:16" x14ac:dyDescent="0.3">
      <c r="A351" s="2" t="s">
        <v>2458</v>
      </c>
      <c r="B351" s="6">
        <v>44743</v>
      </c>
      <c r="C351" s="2" t="s">
        <v>2459</v>
      </c>
      <c r="D351" t="s">
        <v>6178</v>
      </c>
      <c r="E351" s="2">
        <v>4</v>
      </c>
      <c r="F351" s="2" t="str">
        <f>_xlfn.XLOOKUP(C351,customers!$A$1:$A$1001,customers!$B$1:$B$1001,,0,1)</f>
        <v>Dell Daveridge</v>
      </c>
      <c r="G351" s="2" t="str">
        <f>IF((_xlfn.XLOOKUP(C351,customers!$A$2:$A$1001,customers!$C$2:$C$1001,,,)=0),"",(_xlfn.XLOOKUP(C351,customers!$A$2:$A$1001,customers!$C$2:$C$1001,,0,)))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5"/>
        <v>14.339999999999998</v>
      </c>
      <c r="N351" t="str" cm="1">
        <f t="array" ref="N351">_xlfn.IFS(I351="rob","Robusta",I351="exc","Excesla",I351="ara","Arabica",I351="lib","Liberica")</f>
        <v>Robusta</v>
      </c>
      <c r="O351" t="str" cm="1">
        <f t="array" ref="O351">_xlfn.IFS(J351="m","Medium",J351="l","Light",J351="d","Dark")</f>
        <v>Light</v>
      </c>
      <c r="P351" t="str">
        <f>_xlfn.XLOOKUP(orders[[#This Row],[Customer ID]],customers!$A$2:$A$1001,customers!$I$2:$I$1001,,0)</f>
        <v>No</v>
      </c>
    </row>
    <row r="352" spans="1:16" x14ac:dyDescent="0.3">
      <c r="A352" s="2" t="s">
        <v>2464</v>
      </c>
      <c r="B352" s="6">
        <v>43592</v>
      </c>
      <c r="C352" s="2" t="s">
        <v>2465</v>
      </c>
      <c r="D352" t="s">
        <v>6158</v>
      </c>
      <c r="E352" s="2">
        <v>4</v>
      </c>
      <c r="F352" s="2" t="str">
        <f>_xlfn.XLOOKUP(C352,customers!$A$1:$A$1001,customers!$B$1:$B$1001,,0,1)</f>
        <v>Joshuah Awdry</v>
      </c>
      <c r="G352" s="2" t="str">
        <f>IF((_xlfn.XLOOKUP(C352,customers!$A$2:$A$1001,customers!$C$2:$C$1001,,,)=0),"",(_xlfn.XLOOKUP(C352,customers!$A$2:$A$1001,customers!$C$2:$C$1001,,0,)))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5"/>
        <v>23.88</v>
      </c>
      <c r="N352" t="str" cm="1">
        <f t="array" ref="N352">_xlfn.IFS(I352="rob","Robusta",I352="exc","Excesla",I352="ara","Arabica",I352="lib","Liberica")</f>
        <v>Arabica</v>
      </c>
      <c r="O352" t="str" cm="1">
        <f t="array" ref="O352">_xlfn.IFS(J352="m","Medium",J352="l","Light",J352="d","Dark")</f>
        <v>Dark</v>
      </c>
      <c r="P352" t="str">
        <f>_xlfn.XLOOKUP(orders[[#This Row],[Customer ID]],customers!$A$2:$A$1001,customers!$I$2:$I$1001,,0)</f>
        <v>No</v>
      </c>
    </row>
    <row r="353" spans="1:16" x14ac:dyDescent="0.3">
      <c r="A353" s="2" t="s">
        <v>2470</v>
      </c>
      <c r="B353" s="6">
        <v>44066</v>
      </c>
      <c r="C353" s="2" t="s">
        <v>2471</v>
      </c>
      <c r="D353" t="s">
        <v>6155</v>
      </c>
      <c r="E353" s="2">
        <v>2</v>
      </c>
      <c r="F353" s="2" t="str">
        <f>_xlfn.XLOOKUP(C353,customers!$A$1:$A$1001,customers!$B$1:$B$1001,,0,1)</f>
        <v>Ethel Ryles</v>
      </c>
      <c r="G353" s="2" t="str">
        <f>IF((_xlfn.XLOOKUP(C353,customers!$A$2:$A$1001,customers!$C$2:$C$1001,,,)=0),"",(_xlfn.XLOOKUP(C353,customers!$A$2:$A$1001,customers!$C$2:$C$1001,,0,)))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5"/>
        <v>22.5</v>
      </c>
      <c r="N353" t="str" cm="1">
        <f t="array" ref="N353">_xlfn.IFS(I353="rob","Robusta",I353="exc","Excesla",I353="ara","Arabica",I353="lib","Liberica")</f>
        <v>Arabica</v>
      </c>
      <c r="O353" t="str" cm="1">
        <f t="array" ref="O353">_xlfn.IFS(J353="m","Medium",J353="l","Light",J353="d","Dark")</f>
        <v>Medium</v>
      </c>
      <c r="P353" t="str">
        <f>_xlfn.XLOOKUP(orders[[#This Row],[Customer ID]],customers!$A$2:$A$1001,customers!$I$2:$I$1001,,0)</f>
        <v>No</v>
      </c>
    </row>
    <row r="354" spans="1:16" x14ac:dyDescent="0.3">
      <c r="A354" s="2" t="s">
        <v>2476</v>
      </c>
      <c r="B354" s="6">
        <v>43984</v>
      </c>
      <c r="C354" s="2" t="s">
        <v>2331</v>
      </c>
      <c r="D354" t="s">
        <v>6144</v>
      </c>
      <c r="E354" s="2">
        <v>5</v>
      </c>
      <c r="F354" s="2" t="str">
        <f>_xlfn.XLOOKUP(C354,customers!$A$1:$A$1001,customers!$B$1:$B$1001,,0,1)</f>
        <v>Flynn Antony</v>
      </c>
      <c r="G354" s="2" t="str">
        <f>IF((_xlfn.XLOOKUP(C354,customers!$A$2:$A$1001,customers!$C$2:$C$1001,,,)=0),"",(_xlfn.XLOOKUP(C354,customers!$A$2:$A$1001,customers!$C$2:$C$1001,,0,)))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5"/>
        <v>36.450000000000003</v>
      </c>
      <c r="N354" t="str" cm="1">
        <f t="array" ref="N354">_xlfn.IFS(I354="rob","Robusta",I354="exc","Excesla",I354="ara","Arabica",I354="lib","Liberica")</f>
        <v>Excesla</v>
      </c>
      <c r="O354" t="str" cm="1">
        <f t="array" ref="O354">_xlfn.IFS(J354="m","Medium",J354="l","Light",J354="d","Dark")</f>
        <v>Dark</v>
      </c>
      <c r="P354" t="str">
        <f>_xlfn.XLOOKUP(orders[[#This Row],[Customer ID]],customers!$A$2:$A$1001,customers!$I$2:$I$1001,,0)</f>
        <v>No</v>
      </c>
    </row>
    <row r="355" spans="1:16" x14ac:dyDescent="0.3">
      <c r="A355" s="2" t="s">
        <v>2482</v>
      </c>
      <c r="B355" s="6">
        <v>43860</v>
      </c>
      <c r="C355" s="2" t="s">
        <v>2483</v>
      </c>
      <c r="D355" t="s">
        <v>6157</v>
      </c>
      <c r="E355" s="2">
        <v>4</v>
      </c>
      <c r="F355" s="2" t="str">
        <f>_xlfn.XLOOKUP(C355,customers!$A$1:$A$1001,customers!$B$1:$B$1001,,0,1)</f>
        <v>Maitilde Boxill</v>
      </c>
      <c r="G355" s="2" t="str">
        <f>IF((_xlfn.XLOOKUP(C355,customers!$A$2:$A$1001,customers!$C$2:$C$1001,,,)=0),"",(_xlfn.XLOOKUP(C355,customers!$A$2:$A$1001,customers!$C$2:$C$1001,,0,)))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5"/>
        <v>27</v>
      </c>
      <c r="N355" t="str" cm="1">
        <f t="array" ref="N355">_xlfn.IFS(I355="rob","Robusta",I355="exc","Excesla",I355="ara","Arabica",I355="lib","Liberica")</f>
        <v>Arabica</v>
      </c>
      <c r="O355" t="str" cm="1">
        <f t="array" ref="O355">_xlfn.IFS(J355="m","Medium",J355="l","Light",J355="d","Dark")</f>
        <v>Medium</v>
      </c>
      <c r="P355" t="str">
        <f>_xlfn.XLOOKUP(orders[[#This Row],[Customer ID]],customers!$A$2:$A$1001,customers!$I$2:$I$1001,,0)</f>
        <v>Yes</v>
      </c>
    </row>
    <row r="356" spans="1:16" x14ac:dyDescent="0.3">
      <c r="A356" s="2" t="s">
        <v>2487</v>
      </c>
      <c r="B356" s="6">
        <v>43876</v>
      </c>
      <c r="C356" s="2" t="s">
        <v>2488</v>
      </c>
      <c r="D356" t="s">
        <v>6175</v>
      </c>
      <c r="E356" s="2">
        <v>6</v>
      </c>
      <c r="F356" s="2" t="str">
        <f>_xlfn.XLOOKUP(C356,customers!$A$1:$A$1001,customers!$B$1:$B$1001,,0,1)</f>
        <v>Jodee Caldicott</v>
      </c>
      <c r="G356" s="2" t="str">
        <f>IF((_xlfn.XLOOKUP(C356,customers!$A$2:$A$1001,customers!$C$2:$C$1001,,,)=0),"",(_xlfn.XLOOKUP(C356,customers!$A$2:$A$1001,customers!$C$2:$C$1001,,0,)))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5"/>
        <v>155.24999999999997</v>
      </c>
      <c r="N356" t="str" cm="1">
        <f t="array" ref="N356">_xlfn.IFS(I356="rob","Robusta",I356="exc","Excesla",I356="ara","Arabica",I356="lib","Liberica")</f>
        <v>Arabica</v>
      </c>
      <c r="O356" t="str" cm="1">
        <f t="array" ref="O356">_xlfn.IFS(J356="m","Medium",J356="l","Light",J356="d","Dark")</f>
        <v>Medium</v>
      </c>
      <c r="P356" t="str">
        <f>_xlfn.XLOOKUP(orders[[#This Row],[Customer ID]],customers!$A$2:$A$1001,customers!$I$2:$I$1001,,0)</f>
        <v>No</v>
      </c>
    </row>
    <row r="357" spans="1:16" x14ac:dyDescent="0.3">
      <c r="A357" s="2" t="s">
        <v>2492</v>
      </c>
      <c r="B357" s="6">
        <v>44358</v>
      </c>
      <c r="C357" s="2" t="s">
        <v>2493</v>
      </c>
      <c r="D357" t="s">
        <v>6168</v>
      </c>
      <c r="E357" s="2">
        <v>5</v>
      </c>
      <c r="F357" s="2" t="str">
        <f>_xlfn.XLOOKUP(C357,customers!$A$1:$A$1001,customers!$B$1:$B$1001,,0,1)</f>
        <v>Marianna Vedmore</v>
      </c>
      <c r="G357" s="2" t="str">
        <f>IF((_xlfn.XLOOKUP(C357,customers!$A$2:$A$1001,customers!$C$2:$C$1001,,,)=0),"",(_xlfn.XLOOKUP(C357,customers!$A$2:$A$1001,customers!$C$2:$C$1001,,0,)))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5"/>
        <v>114.42499999999998</v>
      </c>
      <c r="N357" t="str" cm="1">
        <f t="array" ref="N357">_xlfn.IFS(I357="rob","Robusta",I357="exc","Excesla",I357="ara","Arabica",I357="lib","Liberica")</f>
        <v>Arabica</v>
      </c>
      <c r="O357" t="str" cm="1">
        <f t="array" ref="O357">_xlfn.IFS(J357="m","Medium",J357="l","Light",J357="d","Dark")</f>
        <v>Dark</v>
      </c>
      <c r="P357" t="str">
        <f>_xlfn.XLOOKUP(orders[[#This Row],[Customer ID]],customers!$A$2:$A$1001,customers!$I$2:$I$1001,,0)</f>
        <v>Yes</v>
      </c>
    </row>
    <row r="358" spans="1:16" x14ac:dyDescent="0.3">
      <c r="A358" s="2" t="s">
        <v>2498</v>
      </c>
      <c r="B358" s="6">
        <v>44631</v>
      </c>
      <c r="C358" s="2" t="s">
        <v>2499</v>
      </c>
      <c r="D358" t="s">
        <v>6143</v>
      </c>
      <c r="E358" s="2">
        <v>4</v>
      </c>
      <c r="F358" s="2" t="str">
        <f>_xlfn.XLOOKUP(C358,customers!$A$1:$A$1001,customers!$B$1:$B$1001,,0,1)</f>
        <v>Willey Romao</v>
      </c>
      <c r="G358" s="2" t="str">
        <f>IF((_xlfn.XLOOKUP(C358,customers!$A$2:$A$1001,customers!$C$2:$C$1001,,,)=0),"",(_xlfn.XLOOKUP(C358,customers!$A$2:$A$1001,customers!$C$2:$C$1001,,0,)))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5"/>
        <v>51.8</v>
      </c>
      <c r="N358" t="str" cm="1">
        <f t="array" ref="N358">_xlfn.IFS(I358="rob","Robusta",I358="exc","Excesla",I358="ara","Arabica",I358="lib","Liberica")</f>
        <v>Liberica</v>
      </c>
      <c r="O358" t="str" cm="1">
        <f t="array" ref="O358">_xlfn.IFS(J358="m","Medium",J358="l","Light",J358="d","Dark")</f>
        <v>Dark</v>
      </c>
      <c r="P358" t="str">
        <f>_xlfn.XLOOKUP(orders[[#This Row],[Customer ID]],customers!$A$2:$A$1001,customers!$I$2:$I$1001,,0)</f>
        <v>Yes</v>
      </c>
    </row>
    <row r="359" spans="1:16" x14ac:dyDescent="0.3">
      <c r="A359" s="2" t="s">
        <v>2504</v>
      </c>
      <c r="B359" s="6">
        <v>44448</v>
      </c>
      <c r="C359" s="2" t="s">
        <v>2505</v>
      </c>
      <c r="D359" t="s">
        <v>6175</v>
      </c>
      <c r="E359" s="2">
        <v>6</v>
      </c>
      <c r="F359" s="2" t="str">
        <f>_xlfn.XLOOKUP(C359,customers!$A$1:$A$1001,customers!$B$1:$B$1001,,0,1)</f>
        <v>Enriqueta Ixor</v>
      </c>
      <c r="G359" s="2" t="str">
        <f>IF((_xlfn.XLOOKUP(C359,customers!$A$2:$A$1001,customers!$C$2:$C$1001,,,)=0),"",(_xlfn.XLOOKUP(C359,customers!$A$2:$A$1001,customers!$C$2:$C$1001,,0,)))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5"/>
        <v>155.24999999999997</v>
      </c>
      <c r="N359" t="str" cm="1">
        <f t="array" ref="N359">_xlfn.IFS(I359="rob","Robusta",I359="exc","Excesla",I359="ara","Arabica",I359="lib","Liberica")</f>
        <v>Arabica</v>
      </c>
      <c r="O359" t="str" cm="1">
        <f t="array" ref="O359">_xlfn.IFS(J359="m","Medium",J359="l","Light",J359="d","Dark")</f>
        <v>Medium</v>
      </c>
      <c r="P359" t="str">
        <f>_xlfn.XLOOKUP(orders[[#This Row],[Customer ID]],customers!$A$2:$A$1001,customers!$I$2:$I$1001,,0)</f>
        <v>No</v>
      </c>
    </row>
    <row r="360" spans="1:16" x14ac:dyDescent="0.3">
      <c r="A360" s="2" t="s">
        <v>2509</v>
      </c>
      <c r="B360" s="6">
        <v>43599</v>
      </c>
      <c r="C360" s="2" t="s">
        <v>2510</v>
      </c>
      <c r="D360" t="s">
        <v>6182</v>
      </c>
      <c r="E360" s="2">
        <v>1</v>
      </c>
      <c r="F360" s="2" t="str">
        <f>_xlfn.XLOOKUP(C360,customers!$A$1:$A$1001,customers!$B$1:$B$1001,,0,1)</f>
        <v>Tomasina Cotmore</v>
      </c>
      <c r="G360" s="2" t="str">
        <f>IF((_xlfn.XLOOKUP(C360,customers!$A$2:$A$1001,customers!$C$2:$C$1001,,,)=0),"",(_xlfn.XLOOKUP(C360,customers!$A$2:$A$1001,customers!$C$2:$C$1001,,0,)))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5"/>
        <v>29.784999999999997</v>
      </c>
      <c r="N360" t="str" cm="1">
        <f t="array" ref="N360">_xlfn.IFS(I360="rob","Robusta",I360="exc","Excesla",I360="ara","Arabica",I360="lib","Liberica")</f>
        <v>Arabica</v>
      </c>
      <c r="O360" t="str" cm="1">
        <f t="array" ref="O360">_xlfn.IFS(J360="m","Medium",J360="l","Light",J360="d","Dark")</f>
        <v>Light</v>
      </c>
      <c r="P360" t="str">
        <f>_xlfn.XLOOKUP(orders[[#This Row],[Customer ID]],customers!$A$2:$A$1001,customers!$I$2:$I$1001,,0)</f>
        <v>No</v>
      </c>
    </row>
    <row r="361" spans="1:16" x14ac:dyDescent="0.3">
      <c r="A361" s="2" t="s">
        <v>2515</v>
      </c>
      <c r="B361" s="6">
        <v>43563</v>
      </c>
      <c r="C361" s="2" t="s">
        <v>2516</v>
      </c>
      <c r="D361" t="s">
        <v>6178</v>
      </c>
      <c r="E361" s="2">
        <v>6</v>
      </c>
      <c r="F361" s="2" t="str">
        <f>_xlfn.XLOOKUP(C361,customers!$A$1:$A$1001,customers!$B$1:$B$1001,,0,1)</f>
        <v>Yuma Skipsey</v>
      </c>
      <c r="G361" s="2" t="str">
        <f>IF((_xlfn.XLOOKUP(C361,customers!$A$2:$A$1001,customers!$C$2:$C$1001,,,)=0),"",(_xlfn.XLOOKUP(C361,customers!$A$2:$A$1001,customers!$C$2:$C$1001,,0,)))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5"/>
        <v>21.509999999999998</v>
      </c>
      <c r="N361" t="str" cm="1">
        <f t="array" ref="N361">_xlfn.IFS(I361="rob","Robusta",I361="exc","Excesla",I361="ara","Arabica",I361="lib","Liberica")</f>
        <v>Robusta</v>
      </c>
      <c r="O361" t="str" cm="1">
        <f t="array" ref="O361">_xlfn.IFS(J361="m","Medium",J361="l","Light",J361="d","Dark")</f>
        <v>Light</v>
      </c>
      <c r="P361" t="str">
        <f>_xlfn.XLOOKUP(orders[[#This Row],[Customer ID]],customers!$A$2:$A$1001,customers!$I$2:$I$1001,,0)</f>
        <v>No</v>
      </c>
    </row>
    <row r="362" spans="1:16" x14ac:dyDescent="0.3">
      <c r="A362" s="2" t="s">
        <v>2521</v>
      </c>
      <c r="B362" s="6">
        <v>44058</v>
      </c>
      <c r="C362" s="2" t="s">
        <v>2522</v>
      </c>
      <c r="D362" t="s">
        <v>6149</v>
      </c>
      <c r="E362" s="2">
        <v>2</v>
      </c>
      <c r="F362" s="2" t="str">
        <f>_xlfn.XLOOKUP(C362,customers!$A$1:$A$1001,customers!$B$1:$B$1001,,0,1)</f>
        <v>Nicko Corps</v>
      </c>
      <c r="G362" s="2" t="str">
        <f>IF((_xlfn.XLOOKUP(C362,customers!$A$2:$A$1001,customers!$C$2:$C$1001,,,)=0),"",(_xlfn.XLOOKUP(C362,customers!$A$2:$A$1001,customers!$C$2:$C$1001,,0,)))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5"/>
        <v>41.169999999999995</v>
      </c>
      <c r="N362" t="str" cm="1">
        <f t="array" ref="N362">_xlfn.IFS(I362="rob","Robusta",I362="exc","Excesla",I362="ara","Arabica",I362="lib","Liberica")</f>
        <v>Robusta</v>
      </c>
      <c r="O362" t="str" cm="1">
        <f t="array" ref="O362">_xlfn.IFS(J362="m","Medium",J362="l","Light",J362="d","Dark")</f>
        <v>Dark</v>
      </c>
      <c r="P362" t="str">
        <f>_xlfn.XLOOKUP(orders[[#This Row],[Customer ID]],customers!$A$2:$A$1001,customers!$I$2:$I$1001,,0)</f>
        <v>No</v>
      </c>
    </row>
    <row r="363" spans="1:16" x14ac:dyDescent="0.3">
      <c r="A363" s="2" t="s">
        <v>2521</v>
      </c>
      <c r="B363" s="6">
        <v>44058</v>
      </c>
      <c r="C363" s="2" t="s">
        <v>2522</v>
      </c>
      <c r="D363" t="s">
        <v>6146</v>
      </c>
      <c r="E363" s="2">
        <v>1</v>
      </c>
      <c r="F363" s="2" t="str">
        <f>_xlfn.XLOOKUP(C363,customers!$A$1:$A$1001,customers!$B$1:$B$1001,,0,1)</f>
        <v>Nicko Corps</v>
      </c>
      <c r="G363" s="2" t="str">
        <f>IF((_xlfn.XLOOKUP(C363,customers!$A$2:$A$1001,customers!$C$2:$C$1001,,,)=0),"",(_xlfn.XLOOKUP(C363,customers!$A$2:$A$1001,customers!$C$2:$C$1001,,0,)))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5"/>
        <v>5.97</v>
      </c>
      <c r="N363" t="str" cm="1">
        <f t="array" ref="N363">_xlfn.IFS(I363="rob","Robusta",I363="exc","Excesla",I363="ara","Arabica",I363="lib","Liberica")</f>
        <v>Robusta</v>
      </c>
      <c r="O363" t="str" cm="1">
        <f t="array" ref="O363">_xlfn.IFS(J363="m","Medium",J363="l","Light",J363="d","Dark")</f>
        <v>Medium</v>
      </c>
      <c r="P363" t="str">
        <f>_xlfn.XLOOKUP(orders[[#This Row],[Customer ID]],customers!$A$2:$A$1001,customers!$I$2:$I$1001,,0)</f>
        <v>No</v>
      </c>
    </row>
    <row r="364" spans="1:16" x14ac:dyDescent="0.3">
      <c r="A364" s="2" t="s">
        <v>2532</v>
      </c>
      <c r="B364" s="6">
        <v>44686</v>
      </c>
      <c r="C364" s="2" t="s">
        <v>2533</v>
      </c>
      <c r="D364" t="s">
        <v>6171</v>
      </c>
      <c r="E364" s="2">
        <v>5</v>
      </c>
      <c r="F364" s="2" t="str">
        <f>_xlfn.XLOOKUP(C364,customers!$A$1:$A$1001,customers!$B$1:$B$1001,,0,1)</f>
        <v>Feliks Babber</v>
      </c>
      <c r="G364" s="2" t="str">
        <f>IF((_xlfn.XLOOKUP(C364,customers!$A$2:$A$1001,customers!$C$2:$C$1001,,,)=0),"",(_xlfn.XLOOKUP(C364,customers!$A$2:$A$1001,customers!$C$2:$C$1001,,0,)))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5"/>
        <v>74.25</v>
      </c>
      <c r="N364" t="str" cm="1">
        <f t="array" ref="N364">_xlfn.IFS(I364="rob","Robusta",I364="exc","Excesla",I364="ara","Arabica",I364="lib","Liberica")</f>
        <v>Excesla</v>
      </c>
      <c r="O364" t="str" cm="1">
        <f t="array" ref="O364">_xlfn.IFS(J364="m","Medium",J364="l","Light",J364="d","Dark")</f>
        <v>Light</v>
      </c>
      <c r="P364" t="str">
        <f>_xlfn.XLOOKUP(orders[[#This Row],[Customer ID]],customers!$A$2:$A$1001,customers!$I$2:$I$1001,,0)</f>
        <v>Yes</v>
      </c>
    </row>
    <row r="365" spans="1:16" x14ac:dyDescent="0.3">
      <c r="A365" s="2" t="s">
        <v>2538</v>
      </c>
      <c r="B365" s="6">
        <v>44282</v>
      </c>
      <c r="C365" s="2" t="s">
        <v>2539</v>
      </c>
      <c r="D365" t="s">
        <v>6162</v>
      </c>
      <c r="E365" s="2">
        <v>6</v>
      </c>
      <c r="F365" s="2" t="str">
        <f>_xlfn.XLOOKUP(C365,customers!$A$1:$A$1001,customers!$B$1:$B$1001,,0,1)</f>
        <v>Kaja Loxton</v>
      </c>
      <c r="G365" s="2" t="str">
        <f>IF((_xlfn.XLOOKUP(C365,customers!$A$2:$A$1001,customers!$C$2:$C$1001,,,)=0),"",(_xlfn.XLOOKUP(C365,customers!$A$2:$A$1001,customers!$C$2:$C$1001,,0,)))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5"/>
        <v>87.300000000000011</v>
      </c>
      <c r="N365" t="str" cm="1">
        <f t="array" ref="N365">_xlfn.IFS(I365="rob","Robusta",I365="exc","Excesla",I365="ara","Arabica",I365="lib","Liberica")</f>
        <v>Liberica</v>
      </c>
      <c r="O365" t="str" cm="1">
        <f t="array" ref="O365">_xlfn.IFS(J365="m","Medium",J365="l","Light",J365="d","Dark")</f>
        <v>Medium</v>
      </c>
      <c r="P365" t="str">
        <f>_xlfn.XLOOKUP(orders[[#This Row],[Customer ID]],customers!$A$2:$A$1001,customers!$I$2:$I$1001,,0)</f>
        <v>No</v>
      </c>
    </row>
    <row r="366" spans="1:16" x14ac:dyDescent="0.3">
      <c r="A366" s="2" t="s">
        <v>2543</v>
      </c>
      <c r="B366" s="6">
        <v>43582</v>
      </c>
      <c r="C366" s="2" t="s">
        <v>2544</v>
      </c>
      <c r="D366" t="s">
        <v>6183</v>
      </c>
      <c r="E366" s="2">
        <v>6</v>
      </c>
      <c r="F366" s="2" t="str">
        <f>_xlfn.XLOOKUP(C366,customers!$A$1:$A$1001,customers!$B$1:$B$1001,,0,1)</f>
        <v>Parker Tofful</v>
      </c>
      <c r="G366" s="2" t="str">
        <f>IF((_xlfn.XLOOKUP(C366,customers!$A$2:$A$1001,customers!$C$2:$C$1001,,,)=0),"",(_xlfn.XLOOKUP(C366,customers!$A$2:$A$1001,customers!$C$2:$C$1001,,0,)))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5"/>
        <v>72.900000000000006</v>
      </c>
      <c r="N366" t="str" cm="1">
        <f t="array" ref="N366">_xlfn.IFS(I366="rob","Robusta",I366="exc","Excesla",I366="ara","Arabica",I366="lib","Liberica")</f>
        <v>Excesla</v>
      </c>
      <c r="O366" t="str" cm="1">
        <f t="array" ref="O366">_xlfn.IFS(J366="m","Medium",J366="l","Light",J366="d","Dark")</f>
        <v>Dark</v>
      </c>
      <c r="P366" t="str">
        <f>_xlfn.XLOOKUP(orders[[#This Row],[Customer ID]],customers!$A$2:$A$1001,customers!$I$2:$I$1001,,0)</f>
        <v>Yes</v>
      </c>
    </row>
    <row r="367" spans="1:16" x14ac:dyDescent="0.3">
      <c r="A367" s="2" t="s">
        <v>2549</v>
      </c>
      <c r="B367" s="6">
        <v>44464</v>
      </c>
      <c r="C367" s="2" t="s">
        <v>2550</v>
      </c>
      <c r="D367" t="s">
        <v>6169</v>
      </c>
      <c r="E367" s="2">
        <v>1</v>
      </c>
      <c r="F367" s="2" t="str">
        <f>_xlfn.XLOOKUP(C367,customers!$A$1:$A$1001,customers!$B$1:$B$1001,,0,1)</f>
        <v>Casi Gwinnett</v>
      </c>
      <c r="G367" s="2" t="str">
        <f>IF((_xlfn.XLOOKUP(C367,customers!$A$2:$A$1001,customers!$C$2:$C$1001,,,)=0),"",(_xlfn.XLOOKUP(C367,customers!$A$2:$A$1001,customers!$C$2:$C$1001,,0,)))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5"/>
        <v>7.77</v>
      </c>
      <c r="N367" t="str" cm="1">
        <f t="array" ref="N367">_xlfn.IFS(I367="rob","Robusta",I367="exc","Excesla",I367="ara","Arabica",I367="lib","Liberica")</f>
        <v>Liberica</v>
      </c>
      <c r="O367" t="str" cm="1">
        <f t="array" ref="O367">_xlfn.IFS(J367="m","Medium",J367="l","Light",J367="d","Dark")</f>
        <v>Dark</v>
      </c>
      <c r="P367" t="str">
        <f>_xlfn.XLOOKUP(orders[[#This Row],[Customer ID]],customers!$A$2:$A$1001,customers!$I$2:$I$1001,,0)</f>
        <v>No</v>
      </c>
    </row>
    <row r="368" spans="1:16" x14ac:dyDescent="0.3">
      <c r="A368" s="2" t="s">
        <v>2554</v>
      </c>
      <c r="B368" s="6">
        <v>43874</v>
      </c>
      <c r="C368" s="2" t="s">
        <v>2555</v>
      </c>
      <c r="D368" t="s">
        <v>6144</v>
      </c>
      <c r="E368" s="2">
        <v>6</v>
      </c>
      <c r="F368" s="2" t="str">
        <f>_xlfn.XLOOKUP(C368,customers!$A$1:$A$1001,customers!$B$1:$B$1001,,0,1)</f>
        <v>Saree Ellesworth</v>
      </c>
      <c r="G368" s="2" t="str">
        <f>IF((_xlfn.XLOOKUP(C368,customers!$A$2:$A$1001,customers!$C$2:$C$1001,,,)=0),"",(_xlfn.XLOOKUP(C368,customers!$A$2:$A$1001,customers!$C$2:$C$1001,,0,)))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5"/>
        <v>43.74</v>
      </c>
      <c r="N368" t="str" cm="1">
        <f t="array" ref="N368">_xlfn.IFS(I368="rob","Robusta",I368="exc","Excesla",I368="ara","Arabica",I368="lib","Liberica")</f>
        <v>Excesla</v>
      </c>
      <c r="O368" t="str" cm="1">
        <f t="array" ref="O368">_xlfn.IFS(J368="m","Medium",J368="l","Light",J368="d","Dark")</f>
        <v>Dark</v>
      </c>
      <c r="P368" t="str">
        <f>_xlfn.XLOOKUP(orders[[#This Row],[Customer ID]],customers!$A$2:$A$1001,customers!$I$2:$I$1001,,0)</f>
        <v>No</v>
      </c>
    </row>
    <row r="369" spans="1:16" x14ac:dyDescent="0.3">
      <c r="A369" s="2" t="s">
        <v>2559</v>
      </c>
      <c r="B369" s="6">
        <v>44393</v>
      </c>
      <c r="C369" s="2" t="s">
        <v>2560</v>
      </c>
      <c r="D369" t="s">
        <v>6159</v>
      </c>
      <c r="E369" s="2">
        <v>2</v>
      </c>
      <c r="F369" s="2" t="str">
        <f>_xlfn.XLOOKUP(C369,customers!$A$1:$A$1001,customers!$B$1:$B$1001,,0,1)</f>
        <v>Silvio Iorizzi</v>
      </c>
      <c r="G369" s="2" t="str">
        <f>IF((_xlfn.XLOOKUP(C369,customers!$A$2:$A$1001,customers!$C$2:$C$1001,,,)=0),"",(_xlfn.XLOOKUP(C369,customers!$A$2:$A$1001,customers!$C$2:$C$1001,,0,)))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5"/>
        <v>8.73</v>
      </c>
      <c r="N369" t="str" cm="1">
        <f t="array" ref="N369">_xlfn.IFS(I369="rob","Robusta",I369="exc","Excesla",I369="ara","Arabica",I369="lib","Liberica")</f>
        <v>Liberica</v>
      </c>
      <c r="O369" t="str" cm="1">
        <f t="array" ref="O369">_xlfn.IFS(J369="m","Medium",J369="l","Light",J369="d","Dark")</f>
        <v>Medium</v>
      </c>
      <c r="P369" t="str">
        <f>_xlfn.XLOOKUP(orders[[#This Row],[Customer ID]],customers!$A$2:$A$1001,customers!$I$2:$I$1001,,0)</f>
        <v>Yes</v>
      </c>
    </row>
    <row r="370" spans="1:16" x14ac:dyDescent="0.3">
      <c r="A370" s="2" t="s">
        <v>2563</v>
      </c>
      <c r="B370" s="6">
        <v>44692</v>
      </c>
      <c r="C370" s="2" t="s">
        <v>2564</v>
      </c>
      <c r="D370" t="s">
        <v>6166</v>
      </c>
      <c r="E370" s="2">
        <v>2</v>
      </c>
      <c r="F370" s="2" t="str">
        <f>_xlfn.XLOOKUP(C370,customers!$A$1:$A$1001,customers!$B$1:$B$1001,,0,1)</f>
        <v>Leesa Flaonier</v>
      </c>
      <c r="G370" s="2" t="str">
        <f>IF((_xlfn.XLOOKUP(C370,customers!$A$2:$A$1001,customers!$C$2:$C$1001,,,)=0),"",(_xlfn.XLOOKUP(C370,customers!$A$2:$A$1001,customers!$C$2:$C$1001,,0,)))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5"/>
        <v>63.249999999999993</v>
      </c>
      <c r="N370" t="str" cm="1">
        <f t="array" ref="N370">_xlfn.IFS(I370="rob","Robusta",I370="exc","Excesla",I370="ara","Arabica",I370="lib","Liberica")</f>
        <v>Excesla</v>
      </c>
      <c r="O370" t="str" cm="1">
        <f t="array" ref="O370">_xlfn.IFS(J370="m","Medium",J370="l","Light",J370="d","Dark")</f>
        <v>Medium</v>
      </c>
      <c r="P370" t="str">
        <f>_xlfn.XLOOKUP(orders[[#This Row],[Customer ID]],customers!$A$2:$A$1001,customers!$I$2:$I$1001,,0)</f>
        <v>No</v>
      </c>
    </row>
    <row r="371" spans="1:16" x14ac:dyDescent="0.3">
      <c r="A371" s="2" t="s">
        <v>2569</v>
      </c>
      <c r="B371" s="6">
        <v>43500</v>
      </c>
      <c r="C371" s="2" t="s">
        <v>2570</v>
      </c>
      <c r="D371" t="s">
        <v>6176</v>
      </c>
      <c r="E371" s="2">
        <v>1</v>
      </c>
      <c r="F371" s="2" t="str">
        <f>_xlfn.XLOOKUP(C371,customers!$A$1:$A$1001,customers!$B$1:$B$1001,,0,1)</f>
        <v>Abba Pummell</v>
      </c>
      <c r="G371" s="2" t="str">
        <f>IF((_xlfn.XLOOKUP(C371,customers!$A$2:$A$1001,customers!$C$2:$C$1001,,,)=0),"",(_xlfn.XLOOKUP(C371,customers!$A$2:$A$1001,customers!$C$2:$C$1001,,0,)))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5"/>
        <v>8.91</v>
      </c>
      <c r="N371" t="str" cm="1">
        <f t="array" ref="N371">_xlfn.IFS(I371="rob","Robusta",I371="exc","Excesla",I371="ara","Arabica",I371="lib","Liberica")</f>
        <v>Excesla</v>
      </c>
      <c r="O371" t="str" cm="1">
        <f t="array" ref="O371">_xlfn.IFS(J371="m","Medium",J371="l","Light",J371="d","Dark")</f>
        <v>Light</v>
      </c>
      <c r="P371" t="str">
        <f>_xlfn.XLOOKUP(orders[[#This Row],[Customer ID]],customers!$A$2:$A$1001,customers!$I$2:$I$1001,,0)</f>
        <v>Yes</v>
      </c>
    </row>
    <row r="372" spans="1:16" x14ac:dyDescent="0.3">
      <c r="A372" s="2" t="s">
        <v>2573</v>
      </c>
      <c r="B372" s="6">
        <v>43501</v>
      </c>
      <c r="C372" s="2" t="s">
        <v>2574</v>
      </c>
      <c r="D372" t="s">
        <v>6183</v>
      </c>
      <c r="E372" s="2">
        <v>2</v>
      </c>
      <c r="F372" s="2" t="str">
        <f>_xlfn.XLOOKUP(C372,customers!$A$1:$A$1001,customers!$B$1:$B$1001,,0,1)</f>
        <v>Corinna Catcheside</v>
      </c>
      <c r="G372" s="2" t="str">
        <f>IF((_xlfn.XLOOKUP(C372,customers!$A$2:$A$1001,customers!$C$2:$C$1001,,,)=0),"",(_xlfn.XLOOKUP(C372,customers!$A$2:$A$1001,customers!$C$2:$C$1001,,0,)))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5"/>
        <v>24.3</v>
      </c>
      <c r="N372" t="str" cm="1">
        <f t="array" ref="N372">_xlfn.IFS(I372="rob","Robusta",I372="exc","Excesla",I372="ara","Arabica",I372="lib","Liberica")</f>
        <v>Excesla</v>
      </c>
      <c r="O372" t="str" cm="1">
        <f t="array" ref="O372">_xlfn.IFS(J372="m","Medium",J372="l","Light",J372="d","Dark")</f>
        <v>Dark</v>
      </c>
      <c r="P372" t="str">
        <f>_xlfn.XLOOKUP(orders[[#This Row],[Customer ID]],customers!$A$2:$A$1001,customers!$I$2:$I$1001,,0)</f>
        <v>Yes</v>
      </c>
    </row>
    <row r="373" spans="1:16" x14ac:dyDescent="0.3">
      <c r="A373" s="2" t="s">
        <v>2579</v>
      </c>
      <c r="B373" s="6">
        <v>44705</v>
      </c>
      <c r="C373" s="2" t="s">
        <v>2580</v>
      </c>
      <c r="D373" t="s">
        <v>6180</v>
      </c>
      <c r="E373" s="2">
        <v>6</v>
      </c>
      <c r="F373" s="2" t="str">
        <f>_xlfn.XLOOKUP(C373,customers!$A$1:$A$1001,customers!$B$1:$B$1001,,0,1)</f>
        <v>Cortney Gibbonson</v>
      </c>
      <c r="G373" s="2" t="str">
        <f>IF((_xlfn.XLOOKUP(C373,customers!$A$2:$A$1001,customers!$C$2:$C$1001,,,)=0),"",(_xlfn.XLOOKUP(C373,customers!$A$2:$A$1001,customers!$C$2:$C$1001,,0,)))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5"/>
        <v>46.62</v>
      </c>
      <c r="N373" t="str" cm="1">
        <f t="array" ref="N373">_xlfn.IFS(I373="rob","Robusta",I373="exc","Excesla",I373="ara","Arabica",I373="lib","Liberica")</f>
        <v>Arabica</v>
      </c>
      <c r="O373" t="str" cm="1">
        <f t="array" ref="O373">_xlfn.IFS(J373="m","Medium",J373="l","Light",J373="d","Dark")</f>
        <v>Light</v>
      </c>
      <c r="P373" t="str">
        <f>_xlfn.XLOOKUP(orders[[#This Row],[Customer ID]],customers!$A$2:$A$1001,customers!$I$2:$I$1001,,0)</f>
        <v>Yes</v>
      </c>
    </row>
    <row r="374" spans="1:16" x14ac:dyDescent="0.3">
      <c r="A374" s="2" t="s">
        <v>2585</v>
      </c>
      <c r="B374" s="6">
        <v>44108</v>
      </c>
      <c r="C374" s="2" t="s">
        <v>2586</v>
      </c>
      <c r="D374" t="s">
        <v>6173</v>
      </c>
      <c r="E374" s="2">
        <v>6</v>
      </c>
      <c r="F374" s="2" t="str">
        <f>_xlfn.XLOOKUP(C374,customers!$A$1:$A$1001,customers!$B$1:$B$1001,,0,1)</f>
        <v>Terri Farra</v>
      </c>
      <c r="G374" s="2" t="str">
        <f>IF((_xlfn.XLOOKUP(C374,customers!$A$2:$A$1001,customers!$C$2:$C$1001,,,)=0),"",(_xlfn.XLOOKUP(C374,customers!$A$2:$A$1001,customers!$C$2:$C$1001,,0,)))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5"/>
        <v>43.019999999999996</v>
      </c>
      <c r="N374" t="str" cm="1">
        <f t="array" ref="N374">_xlfn.IFS(I374="rob","Robusta",I374="exc","Excesla",I374="ara","Arabica",I374="lib","Liberica")</f>
        <v>Robusta</v>
      </c>
      <c r="O374" t="str" cm="1">
        <f t="array" ref="O374">_xlfn.IFS(J374="m","Medium",J374="l","Light",J374="d","Dark")</f>
        <v>Light</v>
      </c>
      <c r="P374" t="str">
        <f>_xlfn.XLOOKUP(orders[[#This Row],[Customer ID]],customers!$A$2:$A$1001,customers!$I$2:$I$1001,,0)</f>
        <v>No</v>
      </c>
    </row>
    <row r="375" spans="1:16" x14ac:dyDescent="0.3">
      <c r="A375" s="2" t="s">
        <v>2591</v>
      </c>
      <c r="B375" s="6">
        <v>44742</v>
      </c>
      <c r="C375" s="2" t="s">
        <v>2592</v>
      </c>
      <c r="D375" t="s">
        <v>6158</v>
      </c>
      <c r="E375" s="2">
        <v>3</v>
      </c>
      <c r="F375" s="2" t="str">
        <f>_xlfn.XLOOKUP(C375,customers!$A$1:$A$1001,customers!$B$1:$B$1001,,0,1)</f>
        <v>Corney Curme</v>
      </c>
      <c r="G375" s="2" t="str">
        <f>IF((_xlfn.XLOOKUP(C375,customers!$A$2:$A$1001,customers!$C$2:$C$1001,,,)=0),"",(_xlfn.XLOOKUP(C375,customers!$A$2:$A$1001,customers!$C$2:$C$1001,,0,)))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5"/>
        <v>17.91</v>
      </c>
      <c r="N375" t="str" cm="1">
        <f t="array" ref="N375">_xlfn.IFS(I375="rob","Robusta",I375="exc","Excesla",I375="ara","Arabica",I375="lib","Liberica")</f>
        <v>Arabica</v>
      </c>
      <c r="O375" t="str" cm="1">
        <f t="array" ref="O375">_xlfn.IFS(J375="m","Medium",J375="l","Light",J375="d","Dark")</f>
        <v>Dark</v>
      </c>
      <c r="P375" t="str">
        <f>_xlfn.XLOOKUP(orders[[#This Row],[Customer ID]],customers!$A$2:$A$1001,customers!$I$2:$I$1001,,0)</f>
        <v>Yes</v>
      </c>
    </row>
    <row r="376" spans="1:16" x14ac:dyDescent="0.3">
      <c r="A376" s="2" t="s">
        <v>2597</v>
      </c>
      <c r="B376" s="6">
        <v>44125</v>
      </c>
      <c r="C376" s="2" t="s">
        <v>2598</v>
      </c>
      <c r="D376" t="s">
        <v>6161</v>
      </c>
      <c r="E376" s="2">
        <v>4</v>
      </c>
      <c r="F376" s="2" t="str">
        <f>_xlfn.XLOOKUP(C376,customers!$A$1:$A$1001,customers!$B$1:$B$1001,,0,1)</f>
        <v>Gothart Bamfield</v>
      </c>
      <c r="G376" s="2" t="str">
        <f>IF((_xlfn.XLOOKUP(C376,customers!$A$2:$A$1001,customers!$C$2:$C$1001,,,)=0),"",(_xlfn.XLOOKUP(C376,customers!$A$2:$A$1001,customers!$C$2:$C$1001,,0,)))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5"/>
        <v>38.04</v>
      </c>
      <c r="N376" t="str" cm="1">
        <f t="array" ref="N376">_xlfn.IFS(I376="rob","Robusta",I376="exc","Excesla",I376="ara","Arabica",I376="lib","Liberica")</f>
        <v>Liberica</v>
      </c>
      <c r="O376" t="str" cm="1">
        <f t="array" ref="O376">_xlfn.IFS(J376="m","Medium",J376="l","Light",J376="d","Dark")</f>
        <v>Light</v>
      </c>
      <c r="P376" t="str">
        <f>_xlfn.XLOOKUP(orders[[#This Row],[Customer ID]],customers!$A$2:$A$1001,customers!$I$2:$I$1001,,0)</f>
        <v>Yes</v>
      </c>
    </row>
    <row r="377" spans="1:16" x14ac:dyDescent="0.3">
      <c r="A377" s="2" t="s">
        <v>2603</v>
      </c>
      <c r="B377" s="6">
        <v>44120</v>
      </c>
      <c r="C377" s="2" t="s">
        <v>2604</v>
      </c>
      <c r="D377" t="s">
        <v>6152</v>
      </c>
      <c r="E377" s="2">
        <v>2</v>
      </c>
      <c r="F377" s="2" t="str">
        <f>_xlfn.XLOOKUP(C377,customers!$A$1:$A$1001,customers!$B$1:$B$1001,,0,1)</f>
        <v>Waylin Hollingdale</v>
      </c>
      <c r="G377" s="2" t="str">
        <f>IF((_xlfn.XLOOKUP(C377,customers!$A$2:$A$1001,customers!$C$2:$C$1001,,,)=0),"",(_xlfn.XLOOKUP(C377,customers!$A$2:$A$1001,customers!$C$2:$C$1001,,0,)))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5"/>
        <v>6.75</v>
      </c>
      <c r="N377" t="str" cm="1">
        <f t="array" ref="N377">_xlfn.IFS(I377="rob","Robusta",I377="exc","Excesla",I377="ara","Arabica",I377="lib","Liberica")</f>
        <v>Arabica</v>
      </c>
      <c r="O377" t="str" cm="1">
        <f t="array" ref="O377">_xlfn.IFS(J377="m","Medium",J377="l","Light",J377="d","Dark")</f>
        <v>Medium</v>
      </c>
      <c r="P377" t="str">
        <f>_xlfn.XLOOKUP(orders[[#This Row],[Customer ID]],customers!$A$2:$A$1001,customers!$I$2:$I$1001,,0)</f>
        <v>Yes</v>
      </c>
    </row>
    <row r="378" spans="1:16" x14ac:dyDescent="0.3">
      <c r="A378" s="2" t="s">
        <v>2609</v>
      </c>
      <c r="B378" s="6">
        <v>44097</v>
      </c>
      <c r="C378" s="2" t="s">
        <v>2610</v>
      </c>
      <c r="D378" t="s">
        <v>6146</v>
      </c>
      <c r="E378" s="2">
        <v>1</v>
      </c>
      <c r="F378" s="2" t="str">
        <f>_xlfn.XLOOKUP(C378,customers!$A$1:$A$1001,customers!$B$1:$B$1001,,0,1)</f>
        <v>Judd De Leek</v>
      </c>
      <c r="G378" s="2" t="str">
        <f>IF((_xlfn.XLOOKUP(C378,customers!$A$2:$A$1001,customers!$C$2:$C$1001,,,)=0),"",(_xlfn.XLOOKUP(C378,customers!$A$2:$A$1001,customers!$C$2:$C$1001,,0,)))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5"/>
        <v>5.97</v>
      </c>
      <c r="N378" t="str" cm="1">
        <f t="array" ref="N378">_xlfn.IFS(I378="rob","Robusta",I378="exc","Excesla",I378="ara","Arabica",I378="lib","Liberica")</f>
        <v>Robusta</v>
      </c>
      <c r="O378" t="str" cm="1">
        <f t="array" ref="O378">_xlfn.IFS(J378="m","Medium",J378="l","Light",J378="d","Dark")</f>
        <v>Medium</v>
      </c>
      <c r="P378" t="str">
        <f>_xlfn.XLOOKUP(orders[[#This Row],[Customer ID]],customers!$A$2:$A$1001,customers!$I$2:$I$1001,,0)</f>
        <v>Yes</v>
      </c>
    </row>
    <row r="379" spans="1:16" x14ac:dyDescent="0.3">
      <c r="A379" s="2" t="s">
        <v>2615</v>
      </c>
      <c r="B379" s="6">
        <v>43532</v>
      </c>
      <c r="C379" s="2" t="s">
        <v>2616</v>
      </c>
      <c r="D379" t="s">
        <v>6163</v>
      </c>
      <c r="E379" s="2">
        <v>3</v>
      </c>
      <c r="F379" s="2" t="str">
        <f>_xlfn.XLOOKUP(C379,customers!$A$1:$A$1001,customers!$B$1:$B$1001,,0,1)</f>
        <v>Vanya Skullet</v>
      </c>
      <c r="G379" s="2" t="str">
        <f>IF((_xlfn.XLOOKUP(C379,customers!$A$2:$A$1001,customers!$C$2:$C$1001,,,)=0),"",(_xlfn.XLOOKUP(C379,customers!$A$2:$A$1001,customers!$C$2:$C$1001,,0,)))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5"/>
        <v>8.0549999999999997</v>
      </c>
      <c r="N379" t="str" cm="1">
        <f t="array" ref="N379">_xlfn.IFS(I379="rob","Robusta",I379="exc","Excesla",I379="ara","Arabica",I379="lib","Liberica")</f>
        <v>Robusta</v>
      </c>
      <c r="O379" t="str" cm="1">
        <f t="array" ref="O379">_xlfn.IFS(J379="m","Medium",J379="l","Light",J379="d","Dark")</f>
        <v>Dark</v>
      </c>
      <c r="P379" t="str">
        <f>_xlfn.XLOOKUP(orders[[#This Row],[Customer ID]],customers!$A$2:$A$1001,customers!$I$2:$I$1001,,0)</f>
        <v>No</v>
      </c>
    </row>
    <row r="380" spans="1:16" x14ac:dyDescent="0.3">
      <c r="A380" s="2" t="s">
        <v>2621</v>
      </c>
      <c r="B380" s="6">
        <v>44377</v>
      </c>
      <c r="C380" s="2" t="s">
        <v>2622</v>
      </c>
      <c r="D380" t="s">
        <v>6180</v>
      </c>
      <c r="E380" s="2">
        <v>3</v>
      </c>
      <c r="F380" s="2" t="str">
        <f>_xlfn.XLOOKUP(C380,customers!$A$1:$A$1001,customers!$B$1:$B$1001,,0,1)</f>
        <v>Jany Rudeforth</v>
      </c>
      <c r="G380" s="2" t="str">
        <f>IF((_xlfn.XLOOKUP(C380,customers!$A$2:$A$1001,customers!$C$2:$C$1001,,,)=0),"",(_xlfn.XLOOKUP(C380,customers!$A$2:$A$1001,customers!$C$2:$C$1001,,0,)))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5"/>
        <v>23.31</v>
      </c>
      <c r="N380" t="str" cm="1">
        <f t="array" ref="N380">_xlfn.IFS(I380="rob","Robusta",I380="exc","Excesla",I380="ara","Arabica",I380="lib","Liberica")</f>
        <v>Arabica</v>
      </c>
      <c r="O380" t="str" cm="1">
        <f t="array" ref="O380">_xlfn.IFS(J380="m","Medium",J380="l","Light",J380="d","Dark")</f>
        <v>Light</v>
      </c>
      <c r="P380" t="str">
        <f>_xlfn.XLOOKUP(orders[[#This Row],[Customer ID]],customers!$A$2:$A$1001,customers!$I$2:$I$1001,,0)</f>
        <v>Yes</v>
      </c>
    </row>
    <row r="381" spans="1:16" x14ac:dyDescent="0.3">
      <c r="A381" s="2" t="s">
        <v>2627</v>
      </c>
      <c r="B381" s="6">
        <v>43690</v>
      </c>
      <c r="C381" s="2" t="s">
        <v>2628</v>
      </c>
      <c r="D381" t="s">
        <v>6173</v>
      </c>
      <c r="E381" s="2">
        <v>6</v>
      </c>
      <c r="F381" s="2" t="str">
        <f>_xlfn.XLOOKUP(C381,customers!$A$1:$A$1001,customers!$B$1:$B$1001,,0,1)</f>
        <v>Ashbey Tomaszewski</v>
      </c>
      <c r="G381" s="2" t="str">
        <f>IF((_xlfn.XLOOKUP(C381,customers!$A$2:$A$1001,customers!$C$2:$C$1001,,,)=0),"",(_xlfn.XLOOKUP(C381,customers!$A$2:$A$1001,customers!$C$2:$C$1001,,0,)))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5"/>
        <v>43.019999999999996</v>
      </c>
      <c r="N381" t="str" cm="1">
        <f t="array" ref="N381">_xlfn.IFS(I381="rob","Robusta",I381="exc","Excesla",I381="ara","Arabica",I381="lib","Liberica")</f>
        <v>Robusta</v>
      </c>
      <c r="O381" t="str" cm="1">
        <f t="array" ref="O381">_xlfn.IFS(J381="m","Medium",J381="l","Light",J381="d","Dark")</f>
        <v>Light</v>
      </c>
      <c r="P381" t="str">
        <f>_xlfn.XLOOKUP(orders[[#This Row],[Customer ID]],customers!$A$2:$A$1001,customers!$I$2:$I$1001,,0)</f>
        <v>Yes</v>
      </c>
    </row>
    <row r="382" spans="1:16" x14ac:dyDescent="0.3">
      <c r="A382" s="2" t="s">
        <v>2632</v>
      </c>
      <c r="B382" s="6">
        <v>44249</v>
      </c>
      <c r="C382" s="2" t="s">
        <v>2331</v>
      </c>
      <c r="D382" t="s">
        <v>6169</v>
      </c>
      <c r="E382" s="2">
        <v>3</v>
      </c>
      <c r="F382" s="2" t="str">
        <f>_xlfn.XLOOKUP(C382,customers!$A$1:$A$1001,customers!$B$1:$B$1001,,0,1)</f>
        <v>Flynn Antony</v>
      </c>
      <c r="G382" s="2" t="str">
        <f>IF((_xlfn.XLOOKUP(C382,customers!$A$2:$A$1001,customers!$C$2:$C$1001,,,)=0),"",(_xlfn.XLOOKUP(C382,customers!$A$2:$A$1001,customers!$C$2:$C$1001,,0,)))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5"/>
        <v>23.31</v>
      </c>
      <c r="N382" t="str" cm="1">
        <f t="array" ref="N382">_xlfn.IFS(I382="rob","Robusta",I382="exc","Excesla",I382="ara","Arabica",I382="lib","Liberica")</f>
        <v>Liberica</v>
      </c>
      <c r="O382" t="str" cm="1">
        <f t="array" ref="O382">_xlfn.IFS(J382="m","Medium",J382="l","Light",J382="d","Dark")</f>
        <v>Dark</v>
      </c>
      <c r="P382" t="str">
        <f>_xlfn.XLOOKUP(orders[[#This Row],[Customer ID]],customers!$A$2:$A$1001,customers!$I$2:$I$1001,,0)</f>
        <v>No</v>
      </c>
    </row>
    <row r="383" spans="1:16" x14ac:dyDescent="0.3">
      <c r="A383" s="2" t="s">
        <v>2638</v>
      </c>
      <c r="B383" s="6">
        <v>44646</v>
      </c>
      <c r="C383" s="2" t="s">
        <v>2639</v>
      </c>
      <c r="D383" t="s">
        <v>6154</v>
      </c>
      <c r="E383" s="2">
        <v>5</v>
      </c>
      <c r="F383" s="2" t="str">
        <f>_xlfn.XLOOKUP(C383,customers!$A$1:$A$1001,customers!$B$1:$B$1001,,0,1)</f>
        <v>Pren Bess</v>
      </c>
      <c r="G383" s="2" t="str">
        <f>IF((_xlfn.XLOOKUP(C383,customers!$A$2:$A$1001,customers!$C$2:$C$1001,,,)=0),"",(_xlfn.XLOOKUP(C383,customers!$A$2:$A$1001,customers!$C$2:$C$1001,,0,)))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5"/>
        <v>14.924999999999999</v>
      </c>
      <c r="N383" t="str" cm="1">
        <f t="array" ref="N383">_xlfn.IFS(I383="rob","Robusta",I383="exc","Excesla",I383="ara","Arabica",I383="lib","Liberica")</f>
        <v>Arabica</v>
      </c>
      <c r="O383" t="str" cm="1">
        <f t="array" ref="O383">_xlfn.IFS(J383="m","Medium",J383="l","Light",J383="d","Dark")</f>
        <v>Dark</v>
      </c>
      <c r="P383" t="str">
        <f>_xlfn.XLOOKUP(orders[[#This Row],[Customer ID]],customers!$A$2:$A$1001,customers!$I$2:$I$1001,,0)</f>
        <v>Yes</v>
      </c>
    </row>
    <row r="384" spans="1:16" x14ac:dyDescent="0.3">
      <c r="A384" s="2" t="s">
        <v>2644</v>
      </c>
      <c r="B384" s="6">
        <v>43840</v>
      </c>
      <c r="C384" s="2" t="s">
        <v>2645</v>
      </c>
      <c r="D384" t="s">
        <v>6144</v>
      </c>
      <c r="E384" s="2">
        <v>3</v>
      </c>
      <c r="F384" s="2" t="str">
        <f>_xlfn.XLOOKUP(C384,customers!$A$1:$A$1001,customers!$B$1:$B$1001,,0,1)</f>
        <v>Elka Windress</v>
      </c>
      <c r="G384" s="2" t="str">
        <f>IF((_xlfn.XLOOKUP(C384,customers!$A$2:$A$1001,customers!$C$2:$C$1001,,,)=0),"",(_xlfn.XLOOKUP(C384,customers!$A$2:$A$1001,customers!$C$2:$C$1001,,0,)))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5"/>
        <v>21.87</v>
      </c>
      <c r="N384" t="str" cm="1">
        <f t="array" ref="N384">_xlfn.IFS(I384="rob","Robusta",I384="exc","Excesla",I384="ara","Arabica",I384="lib","Liberica")</f>
        <v>Excesla</v>
      </c>
      <c r="O384" t="str" cm="1">
        <f t="array" ref="O384">_xlfn.IFS(J384="m","Medium",J384="l","Light",J384="d","Dark")</f>
        <v>Dark</v>
      </c>
      <c r="P384" t="str">
        <f>_xlfn.XLOOKUP(orders[[#This Row],[Customer ID]],customers!$A$2:$A$1001,customers!$I$2:$I$1001,,0)</f>
        <v>No</v>
      </c>
    </row>
    <row r="385" spans="1:16" x14ac:dyDescent="0.3">
      <c r="A385" s="2" t="s">
        <v>2650</v>
      </c>
      <c r="B385" s="6">
        <v>43586</v>
      </c>
      <c r="C385" s="2" t="s">
        <v>2651</v>
      </c>
      <c r="D385" t="s">
        <v>6176</v>
      </c>
      <c r="E385" s="2">
        <v>6</v>
      </c>
      <c r="F385" s="2" t="str">
        <f>_xlfn.XLOOKUP(C385,customers!$A$1:$A$1001,customers!$B$1:$B$1001,,0,1)</f>
        <v>Marty Kidstoun</v>
      </c>
      <c r="G385" s="2" t="str">
        <f>IF((_xlfn.XLOOKUP(C385,customers!$A$2:$A$1001,customers!$C$2:$C$1001,,,)=0),"",(_xlfn.XLOOKUP(C385,customers!$A$2:$A$1001,customers!$C$2:$C$1001,,0,)))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5"/>
        <v>53.46</v>
      </c>
      <c r="N385" t="str" cm="1">
        <f t="array" ref="N385">_xlfn.IFS(I385="rob","Robusta",I385="exc","Excesla",I385="ara","Arabica",I385="lib","Liberica")</f>
        <v>Excesla</v>
      </c>
      <c r="O385" t="str" cm="1">
        <f t="array" ref="O385">_xlfn.IFS(J385="m","Medium",J385="l","Light",J385="d","Dark")</f>
        <v>Light</v>
      </c>
      <c r="P385" t="str">
        <f>_xlfn.XLOOKUP(orders[[#This Row],[Customer ID]],customers!$A$2:$A$1001,customers!$I$2:$I$1001,,0)</f>
        <v>Yes</v>
      </c>
    </row>
    <row r="386" spans="1:16" x14ac:dyDescent="0.3">
      <c r="A386" s="2" t="s">
        <v>2655</v>
      </c>
      <c r="B386" s="6">
        <v>43870</v>
      </c>
      <c r="C386" s="2" t="s">
        <v>2656</v>
      </c>
      <c r="D386" t="s">
        <v>6182</v>
      </c>
      <c r="E386" s="2">
        <v>4</v>
      </c>
      <c r="F386" s="2" t="str">
        <f>_xlfn.XLOOKUP(C386,customers!$A$1:$A$1001,customers!$B$1:$B$1001,,0,1)</f>
        <v>Nickey Dimbleby</v>
      </c>
      <c r="G386" s="2" t="str">
        <f>IF((_xlfn.XLOOKUP(C386,customers!$A$2:$A$1001,customers!$C$2:$C$1001,,,)=0),"",(_xlfn.XLOOKUP(C386,customers!$A$2:$A$1001,customers!$C$2:$C$1001,,0,)))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5"/>
        <v>119.13999999999999</v>
      </c>
      <c r="N386" t="str" cm="1">
        <f t="array" ref="N386">_xlfn.IFS(I386="rob","Robusta",I386="exc","Excesla",I386="ara","Arabica",I386="lib","Liberica")</f>
        <v>Arabica</v>
      </c>
      <c r="O386" t="str" cm="1">
        <f t="array" ref="O386">_xlfn.IFS(J386="m","Medium",J386="l","Light",J386="d","Dark")</f>
        <v>Light</v>
      </c>
      <c r="P386" t="str">
        <f>_xlfn.XLOOKUP(orders[[#This Row],[Customer ID]],customers!$A$2:$A$1001,customers!$I$2:$I$1001,,0)</f>
        <v>No</v>
      </c>
    </row>
    <row r="387" spans="1:16" x14ac:dyDescent="0.3">
      <c r="A387" s="2" t="s">
        <v>2660</v>
      </c>
      <c r="B387" s="6">
        <v>44559</v>
      </c>
      <c r="C387" s="2" t="s">
        <v>2661</v>
      </c>
      <c r="D387" t="s">
        <v>6160</v>
      </c>
      <c r="E387" s="2">
        <v>5</v>
      </c>
      <c r="F387" s="2" t="str">
        <f>_xlfn.XLOOKUP(C387,customers!$A$1:$A$1001,customers!$B$1:$B$1001,,0,1)</f>
        <v>Virgil Baumadier</v>
      </c>
      <c r="G387" s="2" t="str">
        <f>IF((_xlfn.XLOOKUP(C387,customers!$A$2:$A$1001,customers!$C$2:$C$1001,,,)=0),"",(_xlfn.XLOOKUP(C387,customers!$A$2:$A$1001,customers!$C$2:$C$1001,,0,)))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6">L387*E387</f>
        <v>43.650000000000006</v>
      </c>
      <c r="N387" t="str" cm="1">
        <f t="array" ref="N387">_xlfn.IFS(I387="rob","Robusta",I387="exc","Excesla",I387="ara","Arabica",I387="lib","Liberica")</f>
        <v>Liberica</v>
      </c>
      <c r="O387" t="str" cm="1">
        <f t="array" ref="O387">_xlfn.IFS(J387="m","Medium",J387="l","Light",J387="d","Dark")</f>
        <v>Medium</v>
      </c>
      <c r="P387" t="str">
        <f>_xlfn.XLOOKUP(orders[[#This Row],[Customer ID]],customers!$A$2:$A$1001,customers!$I$2:$I$1001,,0)</f>
        <v>Yes</v>
      </c>
    </row>
    <row r="388" spans="1:16" x14ac:dyDescent="0.3">
      <c r="A388" s="2" t="s">
        <v>2666</v>
      </c>
      <c r="B388" s="6">
        <v>44083</v>
      </c>
      <c r="C388" s="2" t="s">
        <v>2667</v>
      </c>
      <c r="D388" t="s">
        <v>6154</v>
      </c>
      <c r="E388" s="2">
        <v>6</v>
      </c>
      <c r="F388" s="2" t="str">
        <f>_xlfn.XLOOKUP(C388,customers!$A$1:$A$1001,customers!$B$1:$B$1001,,0,1)</f>
        <v>Lenore Messenbird</v>
      </c>
      <c r="G388" s="2" t="str">
        <f>IF((_xlfn.XLOOKUP(C388,customers!$A$2:$A$1001,customers!$C$2:$C$1001,,,)=0),"",(_xlfn.XLOOKUP(C388,customers!$A$2:$A$1001,customers!$C$2:$C$1001,,0,)))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6"/>
        <v>17.91</v>
      </c>
      <c r="N388" t="str" cm="1">
        <f t="array" ref="N388">_xlfn.IFS(I388="rob","Robusta",I388="exc","Excesla",I388="ara","Arabica",I388="lib","Liberica")</f>
        <v>Arabica</v>
      </c>
      <c r="O388" t="str" cm="1">
        <f t="array" ref="O388">_xlfn.IFS(J388="m","Medium",J388="l","Light",J388="d","Dark")</f>
        <v>Dark</v>
      </c>
      <c r="P388" t="str">
        <f>_xlfn.XLOOKUP(orders[[#This Row],[Customer ID]],customers!$A$2:$A$1001,customers!$I$2:$I$1001,,0)</f>
        <v>Yes</v>
      </c>
    </row>
    <row r="389" spans="1:16" x14ac:dyDescent="0.3">
      <c r="A389" s="2" t="s">
        <v>2671</v>
      </c>
      <c r="B389" s="6">
        <v>44455</v>
      </c>
      <c r="C389" s="2" t="s">
        <v>2672</v>
      </c>
      <c r="D389" t="s">
        <v>6171</v>
      </c>
      <c r="E389" s="2">
        <v>5</v>
      </c>
      <c r="F389" s="2" t="str">
        <f>_xlfn.XLOOKUP(C389,customers!$A$1:$A$1001,customers!$B$1:$B$1001,,0,1)</f>
        <v>Shirleen Welds</v>
      </c>
      <c r="G389" s="2" t="str">
        <f>IF((_xlfn.XLOOKUP(C389,customers!$A$2:$A$1001,customers!$C$2:$C$1001,,,)=0),"",(_xlfn.XLOOKUP(C389,customers!$A$2:$A$1001,customers!$C$2:$C$1001,,0,)))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6"/>
        <v>74.25</v>
      </c>
      <c r="N389" t="str" cm="1">
        <f t="array" ref="N389">_xlfn.IFS(I389="rob","Robusta",I389="exc","Excesla",I389="ara","Arabica",I389="lib","Liberica")</f>
        <v>Excesla</v>
      </c>
      <c r="O389" t="str" cm="1">
        <f t="array" ref="O389">_xlfn.IFS(J389="m","Medium",J389="l","Light",J389="d","Dark")</f>
        <v>Light</v>
      </c>
      <c r="P389" t="str">
        <f>_xlfn.XLOOKUP(orders[[#This Row],[Customer ID]],customers!$A$2:$A$1001,customers!$I$2:$I$1001,,0)</f>
        <v>Yes</v>
      </c>
    </row>
    <row r="390" spans="1:16" x14ac:dyDescent="0.3">
      <c r="A390" s="2" t="s">
        <v>2677</v>
      </c>
      <c r="B390" s="6">
        <v>44130</v>
      </c>
      <c r="C390" s="2" t="s">
        <v>2678</v>
      </c>
      <c r="D390" t="s">
        <v>6150</v>
      </c>
      <c r="E390" s="2">
        <v>3</v>
      </c>
      <c r="F390" s="2" t="str">
        <f>_xlfn.XLOOKUP(C390,customers!$A$1:$A$1001,customers!$B$1:$B$1001,,0,1)</f>
        <v>Maisie Sarvar</v>
      </c>
      <c r="G390" s="2" t="str">
        <f>IF((_xlfn.XLOOKUP(C390,customers!$A$2:$A$1001,customers!$C$2:$C$1001,,,)=0),"",(_xlfn.XLOOKUP(C390,customers!$A$2:$A$1001,customers!$C$2:$C$1001,,0,)))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6"/>
        <v>11.654999999999999</v>
      </c>
      <c r="N390" t="str" cm="1">
        <f t="array" ref="N390">_xlfn.IFS(I390="rob","Robusta",I390="exc","Excesla",I390="ara","Arabica",I390="lib","Liberica")</f>
        <v>Liberica</v>
      </c>
      <c r="O390" t="str" cm="1">
        <f t="array" ref="O390">_xlfn.IFS(J390="m","Medium",J390="l","Light",J390="d","Dark")</f>
        <v>Dark</v>
      </c>
      <c r="P390" t="str">
        <f>_xlfn.XLOOKUP(orders[[#This Row],[Customer ID]],customers!$A$2:$A$1001,customers!$I$2:$I$1001,,0)</f>
        <v>Yes</v>
      </c>
    </row>
    <row r="391" spans="1:16" x14ac:dyDescent="0.3">
      <c r="A391" s="2" t="s">
        <v>2683</v>
      </c>
      <c r="B391" s="6">
        <v>43536</v>
      </c>
      <c r="C391" s="2" t="s">
        <v>2684</v>
      </c>
      <c r="D391" t="s">
        <v>6169</v>
      </c>
      <c r="E391" s="2">
        <v>3</v>
      </c>
      <c r="F391" s="2" t="str">
        <f>_xlfn.XLOOKUP(C391,customers!$A$1:$A$1001,customers!$B$1:$B$1001,,0,1)</f>
        <v>Andrej Havick</v>
      </c>
      <c r="G391" s="2" t="str">
        <f>IF((_xlfn.XLOOKUP(C391,customers!$A$2:$A$1001,customers!$C$2:$C$1001,,,)=0),"",(_xlfn.XLOOKUP(C391,customers!$A$2:$A$1001,customers!$C$2:$C$1001,,0,)))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6"/>
        <v>23.31</v>
      </c>
      <c r="N391" t="str" cm="1">
        <f t="array" ref="N391">_xlfn.IFS(I391="rob","Robusta",I391="exc","Excesla",I391="ara","Arabica",I391="lib","Liberica")</f>
        <v>Liberica</v>
      </c>
      <c r="O391" t="str" cm="1">
        <f t="array" ref="O391">_xlfn.IFS(J391="m","Medium",J391="l","Light",J391="d","Dark")</f>
        <v>Dark</v>
      </c>
      <c r="P391" t="str">
        <f>_xlfn.XLOOKUP(orders[[#This Row],[Customer ID]],customers!$A$2:$A$1001,customers!$I$2:$I$1001,,0)</f>
        <v>Yes</v>
      </c>
    </row>
    <row r="392" spans="1:16" x14ac:dyDescent="0.3">
      <c r="A392" s="2" t="s">
        <v>2689</v>
      </c>
      <c r="B392" s="6">
        <v>44245</v>
      </c>
      <c r="C392" s="2" t="s">
        <v>2690</v>
      </c>
      <c r="D392" t="s">
        <v>6144</v>
      </c>
      <c r="E392" s="2">
        <v>2</v>
      </c>
      <c r="F392" s="2" t="str">
        <f>_xlfn.XLOOKUP(C392,customers!$A$1:$A$1001,customers!$B$1:$B$1001,,0,1)</f>
        <v>Sloan Diviny</v>
      </c>
      <c r="G392" s="2" t="str">
        <f>IF((_xlfn.XLOOKUP(C392,customers!$A$2:$A$1001,customers!$C$2:$C$1001,,,)=0),"",(_xlfn.XLOOKUP(C392,customers!$A$2:$A$1001,customers!$C$2:$C$1001,,0,)))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6"/>
        <v>14.58</v>
      </c>
      <c r="N392" t="str" cm="1">
        <f t="array" ref="N392">_xlfn.IFS(I392="rob","Robusta",I392="exc","Excesla",I392="ara","Arabica",I392="lib","Liberica")</f>
        <v>Excesla</v>
      </c>
      <c r="O392" t="str" cm="1">
        <f t="array" ref="O392">_xlfn.IFS(J392="m","Medium",J392="l","Light",J392="d","Dark")</f>
        <v>Dark</v>
      </c>
      <c r="P392" t="str">
        <f>_xlfn.XLOOKUP(orders[[#This Row],[Customer ID]],customers!$A$2:$A$1001,customers!$I$2:$I$1001,,0)</f>
        <v>Yes</v>
      </c>
    </row>
    <row r="393" spans="1:16" x14ac:dyDescent="0.3">
      <c r="A393" s="2" t="s">
        <v>2694</v>
      </c>
      <c r="B393" s="6">
        <v>44133</v>
      </c>
      <c r="C393" s="2" t="s">
        <v>2695</v>
      </c>
      <c r="D393" t="s">
        <v>6157</v>
      </c>
      <c r="E393" s="2">
        <v>2</v>
      </c>
      <c r="F393" s="2" t="str">
        <f>_xlfn.XLOOKUP(C393,customers!$A$1:$A$1001,customers!$B$1:$B$1001,,0,1)</f>
        <v>Itch Norquoy</v>
      </c>
      <c r="G393" s="2" t="str">
        <f>IF((_xlfn.XLOOKUP(C393,customers!$A$2:$A$1001,customers!$C$2:$C$1001,,,)=0),"",(_xlfn.XLOOKUP(C393,customers!$A$2:$A$1001,customers!$C$2:$C$1001,,0,)))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6"/>
        <v>13.5</v>
      </c>
      <c r="N393" t="str" cm="1">
        <f t="array" ref="N393">_xlfn.IFS(I393="rob","Robusta",I393="exc","Excesla",I393="ara","Arabica",I393="lib","Liberica")</f>
        <v>Arabica</v>
      </c>
      <c r="O393" t="str" cm="1">
        <f t="array" ref="O393">_xlfn.IFS(J393="m","Medium",J393="l","Light",J393="d","Dark")</f>
        <v>Medium</v>
      </c>
      <c r="P393" t="str">
        <f>_xlfn.XLOOKUP(orders[[#This Row],[Customer ID]],customers!$A$2:$A$1001,customers!$I$2:$I$1001,,0)</f>
        <v>No</v>
      </c>
    </row>
    <row r="394" spans="1:16" x14ac:dyDescent="0.3">
      <c r="A394" s="2" t="s">
        <v>2699</v>
      </c>
      <c r="B394" s="6">
        <v>44445</v>
      </c>
      <c r="C394" s="2" t="s">
        <v>2700</v>
      </c>
      <c r="D394" t="s">
        <v>6171</v>
      </c>
      <c r="E394" s="2">
        <v>6</v>
      </c>
      <c r="F394" s="2" t="str">
        <f>_xlfn.XLOOKUP(C394,customers!$A$1:$A$1001,customers!$B$1:$B$1001,,0,1)</f>
        <v>Anson Iddison</v>
      </c>
      <c r="G394" s="2" t="str">
        <f>IF((_xlfn.XLOOKUP(C394,customers!$A$2:$A$1001,customers!$C$2:$C$1001,,,)=0),"",(_xlfn.XLOOKUP(C394,customers!$A$2:$A$1001,customers!$C$2:$C$1001,,0,)))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6"/>
        <v>89.1</v>
      </c>
      <c r="N394" t="str" cm="1">
        <f t="array" ref="N394">_xlfn.IFS(I394="rob","Robusta",I394="exc","Excesla",I394="ara","Arabica",I394="lib","Liberica")</f>
        <v>Excesla</v>
      </c>
      <c r="O394" t="str" cm="1">
        <f t="array" ref="O394">_xlfn.IFS(J394="m","Medium",J394="l","Light",J394="d","Dark")</f>
        <v>Light</v>
      </c>
      <c r="P394" t="str">
        <f>_xlfn.XLOOKUP(orders[[#This Row],[Customer ID]],customers!$A$2:$A$1001,customers!$I$2:$I$1001,,0)</f>
        <v>No</v>
      </c>
    </row>
    <row r="395" spans="1:16" x14ac:dyDescent="0.3">
      <c r="A395" s="2" t="s">
        <v>2699</v>
      </c>
      <c r="B395" s="6">
        <v>44445</v>
      </c>
      <c r="C395" s="2" t="s">
        <v>2700</v>
      </c>
      <c r="D395" t="s">
        <v>6167</v>
      </c>
      <c r="E395" s="2">
        <v>1</v>
      </c>
      <c r="F395" s="2" t="str">
        <f>_xlfn.XLOOKUP(C395,customers!$A$1:$A$1001,customers!$B$1:$B$1001,,0,1)</f>
        <v>Anson Iddison</v>
      </c>
      <c r="G395" s="2" t="str">
        <f>IF((_xlfn.XLOOKUP(C395,customers!$A$2:$A$1001,customers!$C$2:$C$1001,,,)=0),"",(_xlfn.XLOOKUP(C395,customers!$A$2:$A$1001,customers!$C$2:$C$1001,,0,)))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6"/>
        <v>3.8849999999999998</v>
      </c>
      <c r="N395" t="str" cm="1">
        <f t="array" ref="N395">_xlfn.IFS(I395="rob","Robusta",I395="exc","Excesla",I395="ara","Arabica",I395="lib","Liberica")</f>
        <v>Arabica</v>
      </c>
      <c r="O395" t="str" cm="1">
        <f t="array" ref="O395">_xlfn.IFS(J395="m","Medium",J395="l","Light",J395="d","Dark")</f>
        <v>Light</v>
      </c>
      <c r="P395" t="str">
        <f>_xlfn.XLOOKUP(orders[[#This Row],[Customer ID]],customers!$A$2:$A$1001,customers!$I$2:$I$1001,,0)</f>
        <v>No</v>
      </c>
    </row>
    <row r="396" spans="1:16" x14ac:dyDescent="0.3">
      <c r="A396" s="2" t="s">
        <v>2710</v>
      </c>
      <c r="B396" s="6">
        <v>44083</v>
      </c>
      <c r="C396" s="2" t="s">
        <v>2711</v>
      </c>
      <c r="D396" t="s">
        <v>6142</v>
      </c>
      <c r="E396" s="2">
        <v>4</v>
      </c>
      <c r="F396" s="2" t="str">
        <f>_xlfn.XLOOKUP(C396,customers!$A$1:$A$1001,customers!$B$1:$B$1001,,0,1)</f>
        <v>Randal Longfield</v>
      </c>
      <c r="G396" s="2" t="str">
        <f>IF((_xlfn.XLOOKUP(C396,customers!$A$2:$A$1001,customers!$C$2:$C$1001,,,)=0),"",(_xlfn.XLOOKUP(C396,customers!$A$2:$A$1001,customers!$C$2:$C$1001,,0,)))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6"/>
        <v>109.93999999999998</v>
      </c>
      <c r="N396" t="str" cm="1">
        <f t="array" ref="N396">_xlfn.IFS(I396="rob","Robusta",I396="exc","Excesla",I396="ara","Arabica",I396="lib","Liberica")</f>
        <v>Robusta</v>
      </c>
      <c r="O396" t="str" cm="1">
        <f t="array" ref="O396">_xlfn.IFS(J396="m","Medium",J396="l","Light",J396="d","Dark")</f>
        <v>Light</v>
      </c>
      <c r="P396" t="str">
        <f>_xlfn.XLOOKUP(orders[[#This Row],[Customer ID]],customers!$A$2:$A$1001,customers!$I$2:$I$1001,,0)</f>
        <v>No</v>
      </c>
    </row>
    <row r="397" spans="1:16" x14ac:dyDescent="0.3">
      <c r="A397" s="2" t="s">
        <v>2716</v>
      </c>
      <c r="B397" s="6">
        <v>44465</v>
      </c>
      <c r="C397" s="2" t="s">
        <v>2717</v>
      </c>
      <c r="D397" t="s">
        <v>6169</v>
      </c>
      <c r="E397" s="2">
        <v>6</v>
      </c>
      <c r="F397" s="2" t="str">
        <f>_xlfn.XLOOKUP(C397,customers!$A$1:$A$1001,customers!$B$1:$B$1001,,0,1)</f>
        <v>Gregorius Kislingbury</v>
      </c>
      <c r="G397" s="2" t="str">
        <f>IF((_xlfn.XLOOKUP(C397,customers!$A$2:$A$1001,customers!$C$2:$C$1001,,,)=0),"",(_xlfn.XLOOKUP(C397,customers!$A$2:$A$1001,customers!$C$2:$C$1001,,0,)))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6"/>
        <v>46.62</v>
      </c>
      <c r="N397" t="str" cm="1">
        <f t="array" ref="N397">_xlfn.IFS(I397="rob","Robusta",I397="exc","Excesla",I397="ara","Arabica",I397="lib","Liberica")</f>
        <v>Liberica</v>
      </c>
      <c r="O397" t="str" cm="1">
        <f t="array" ref="O397">_xlfn.IFS(J397="m","Medium",J397="l","Light",J397="d","Dark")</f>
        <v>Dark</v>
      </c>
      <c r="P397" t="str">
        <f>_xlfn.XLOOKUP(orders[[#This Row],[Customer ID]],customers!$A$2:$A$1001,customers!$I$2:$I$1001,,0)</f>
        <v>Yes</v>
      </c>
    </row>
    <row r="398" spans="1:16" x14ac:dyDescent="0.3">
      <c r="A398" s="2" t="s">
        <v>2721</v>
      </c>
      <c r="B398" s="6">
        <v>44140</v>
      </c>
      <c r="C398" s="2" t="s">
        <v>2722</v>
      </c>
      <c r="D398" t="s">
        <v>6180</v>
      </c>
      <c r="E398" s="2">
        <v>5</v>
      </c>
      <c r="F398" s="2" t="str">
        <f>_xlfn.XLOOKUP(C398,customers!$A$1:$A$1001,customers!$B$1:$B$1001,,0,1)</f>
        <v>Xenos Gibbons</v>
      </c>
      <c r="G398" s="2" t="str">
        <f>IF((_xlfn.XLOOKUP(C398,customers!$A$2:$A$1001,customers!$C$2:$C$1001,,,)=0),"",(_xlfn.XLOOKUP(C398,customers!$A$2:$A$1001,customers!$C$2:$C$1001,,0,)))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6"/>
        <v>38.849999999999994</v>
      </c>
      <c r="N398" t="str" cm="1">
        <f t="array" ref="N398">_xlfn.IFS(I398="rob","Robusta",I398="exc","Excesla",I398="ara","Arabica",I398="lib","Liberica")</f>
        <v>Arabica</v>
      </c>
      <c r="O398" t="str" cm="1">
        <f t="array" ref="O398">_xlfn.IFS(J398="m","Medium",J398="l","Light",J398="d","Dark")</f>
        <v>Light</v>
      </c>
      <c r="P398" t="str">
        <f>_xlfn.XLOOKUP(orders[[#This Row],[Customer ID]],customers!$A$2:$A$1001,customers!$I$2:$I$1001,,0)</f>
        <v>No</v>
      </c>
    </row>
    <row r="399" spans="1:16" x14ac:dyDescent="0.3">
      <c r="A399" s="2" t="s">
        <v>2727</v>
      </c>
      <c r="B399" s="6">
        <v>43720</v>
      </c>
      <c r="C399" s="2" t="s">
        <v>2728</v>
      </c>
      <c r="D399" t="s">
        <v>6169</v>
      </c>
      <c r="E399" s="2">
        <v>4</v>
      </c>
      <c r="F399" s="2" t="str">
        <f>_xlfn.XLOOKUP(C399,customers!$A$1:$A$1001,customers!$B$1:$B$1001,,0,1)</f>
        <v>Fleur Parres</v>
      </c>
      <c r="G399" s="2" t="str">
        <f>IF((_xlfn.XLOOKUP(C399,customers!$A$2:$A$1001,customers!$C$2:$C$1001,,,)=0),"",(_xlfn.XLOOKUP(C399,customers!$A$2:$A$1001,customers!$C$2:$C$1001,,0,)))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6"/>
        <v>31.08</v>
      </c>
      <c r="N399" t="str" cm="1">
        <f t="array" ref="N399">_xlfn.IFS(I399="rob","Robusta",I399="exc","Excesla",I399="ara","Arabica",I399="lib","Liberica")</f>
        <v>Liberica</v>
      </c>
      <c r="O399" t="str" cm="1">
        <f t="array" ref="O399">_xlfn.IFS(J399="m","Medium",J399="l","Light",J399="d","Dark")</f>
        <v>Dark</v>
      </c>
      <c r="P399" t="str">
        <f>_xlfn.XLOOKUP(orders[[#This Row],[Customer ID]],customers!$A$2:$A$1001,customers!$I$2:$I$1001,,0)</f>
        <v>Yes</v>
      </c>
    </row>
    <row r="400" spans="1:16" x14ac:dyDescent="0.3">
      <c r="A400" s="2" t="s">
        <v>2733</v>
      </c>
      <c r="B400" s="6">
        <v>43677</v>
      </c>
      <c r="C400" s="2" t="s">
        <v>2734</v>
      </c>
      <c r="D400" t="s">
        <v>6154</v>
      </c>
      <c r="E400" s="2">
        <v>6</v>
      </c>
      <c r="F400" s="2" t="str">
        <f>_xlfn.XLOOKUP(C400,customers!$A$1:$A$1001,customers!$B$1:$B$1001,,0,1)</f>
        <v>Gran Sibray</v>
      </c>
      <c r="G400" s="2" t="str">
        <f>IF((_xlfn.XLOOKUP(C400,customers!$A$2:$A$1001,customers!$C$2:$C$1001,,,)=0),"",(_xlfn.XLOOKUP(C400,customers!$A$2:$A$1001,customers!$C$2:$C$1001,,0,)))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6"/>
        <v>17.91</v>
      </c>
      <c r="N400" t="str" cm="1">
        <f t="array" ref="N400">_xlfn.IFS(I400="rob","Robusta",I400="exc","Excesla",I400="ara","Arabica",I400="lib","Liberica")</f>
        <v>Arabica</v>
      </c>
      <c r="O400" t="str" cm="1">
        <f t="array" ref="O400">_xlfn.IFS(J400="m","Medium",J400="l","Light",J400="d","Dark")</f>
        <v>Dark</v>
      </c>
      <c r="P400" t="str">
        <f>_xlfn.XLOOKUP(orders[[#This Row],[Customer ID]],customers!$A$2:$A$1001,customers!$I$2:$I$1001,,0)</f>
        <v>Yes</v>
      </c>
    </row>
    <row r="401" spans="1:16" x14ac:dyDescent="0.3">
      <c r="A401" s="2" t="s">
        <v>2739</v>
      </c>
      <c r="B401" s="6">
        <v>43539</v>
      </c>
      <c r="C401" s="2" t="s">
        <v>2740</v>
      </c>
      <c r="D401" t="s">
        <v>6185</v>
      </c>
      <c r="E401" s="2">
        <v>6</v>
      </c>
      <c r="F401" s="2" t="str">
        <f>_xlfn.XLOOKUP(C401,customers!$A$1:$A$1001,customers!$B$1:$B$1001,,0,1)</f>
        <v>Ingelbert Hotchkin</v>
      </c>
      <c r="G401" s="2" t="str">
        <f>IF((_xlfn.XLOOKUP(C401,customers!$A$2:$A$1001,customers!$C$2:$C$1001,,,)=0),"",(_xlfn.XLOOKUP(C401,customers!$A$2:$A$1001,customers!$C$2:$C$1001,,0,)))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6"/>
        <v>167.67000000000002</v>
      </c>
      <c r="N401" t="str" cm="1">
        <f t="array" ref="N401">_xlfn.IFS(I401="rob","Robusta",I401="exc","Excesla",I401="ara","Arabica",I401="lib","Liberica")</f>
        <v>Excesla</v>
      </c>
      <c r="O401" t="str" cm="1">
        <f t="array" ref="O401">_xlfn.IFS(J401="m","Medium",J401="l","Light",J401="d","Dark")</f>
        <v>Dark</v>
      </c>
      <c r="P401" t="str">
        <f>_xlfn.XLOOKUP(orders[[#This Row],[Customer ID]],customers!$A$2:$A$1001,customers!$I$2:$I$1001,,0)</f>
        <v>No</v>
      </c>
    </row>
    <row r="402" spans="1:16" x14ac:dyDescent="0.3">
      <c r="A402" s="2" t="s">
        <v>2745</v>
      </c>
      <c r="B402" s="6">
        <v>44332</v>
      </c>
      <c r="C402" s="2" t="s">
        <v>2746</v>
      </c>
      <c r="D402" t="s">
        <v>6170</v>
      </c>
      <c r="E402" s="2">
        <v>4</v>
      </c>
      <c r="F402" s="2" t="str">
        <f>_xlfn.XLOOKUP(C402,customers!$A$1:$A$1001,customers!$B$1:$B$1001,,0,1)</f>
        <v>Neely Broadberrie</v>
      </c>
      <c r="G402" s="2" t="str">
        <f>IF((_xlfn.XLOOKUP(C402,customers!$A$2:$A$1001,customers!$C$2:$C$1001,,,)=0),"",(_xlfn.XLOOKUP(C402,customers!$A$2:$A$1001,customers!$C$2:$C$1001,,0,)))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6"/>
        <v>63.4</v>
      </c>
      <c r="N402" t="str" cm="1">
        <f t="array" ref="N402">_xlfn.IFS(I402="rob","Robusta",I402="exc","Excesla",I402="ara","Arabica",I402="lib","Liberica")</f>
        <v>Liberica</v>
      </c>
      <c r="O402" t="str" cm="1">
        <f t="array" ref="O402">_xlfn.IFS(J402="m","Medium",J402="l","Light",J402="d","Dark")</f>
        <v>Light</v>
      </c>
      <c r="P402" t="str">
        <f>_xlfn.XLOOKUP(orders[[#This Row],[Customer ID]],customers!$A$2:$A$1001,customers!$I$2:$I$1001,,0)</f>
        <v>No</v>
      </c>
    </row>
    <row r="403" spans="1:16" x14ac:dyDescent="0.3">
      <c r="A403" s="2" t="s">
        <v>2751</v>
      </c>
      <c r="B403" s="6">
        <v>43591</v>
      </c>
      <c r="C403" s="2" t="s">
        <v>2752</v>
      </c>
      <c r="D403" t="s">
        <v>6159</v>
      </c>
      <c r="E403" s="2">
        <v>2</v>
      </c>
      <c r="F403" s="2" t="str">
        <f>_xlfn.XLOOKUP(C403,customers!$A$1:$A$1001,customers!$B$1:$B$1001,,0,1)</f>
        <v>Rutger Pithcock</v>
      </c>
      <c r="G403" s="2" t="str">
        <f>IF((_xlfn.XLOOKUP(C403,customers!$A$2:$A$1001,customers!$C$2:$C$1001,,,)=0),"",(_xlfn.XLOOKUP(C403,customers!$A$2:$A$1001,customers!$C$2:$C$1001,,0,)))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6"/>
        <v>8.73</v>
      </c>
      <c r="N403" t="str" cm="1">
        <f t="array" ref="N403">_xlfn.IFS(I403="rob","Robusta",I403="exc","Excesla",I403="ara","Arabica",I403="lib","Liberica")</f>
        <v>Liberica</v>
      </c>
      <c r="O403" t="str" cm="1">
        <f t="array" ref="O403">_xlfn.IFS(J403="m","Medium",J403="l","Light",J403="d","Dark")</f>
        <v>Medium</v>
      </c>
      <c r="P403" t="str">
        <f>_xlfn.XLOOKUP(orders[[#This Row],[Customer ID]],customers!$A$2:$A$1001,customers!$I$2:$I$1001,,0)</f>
        <v>Yes</v>
      </c>
    </row>
    <row r="404" spans="1:16" x14ac:dyDescent="0.3">
      <c r="A404" s="2" t="s">
        <v>2757</v>
      </c>
      <c r="B404" s="6">
        <v>43502</v>
      </c>
      <c r="C404" s="2" t="s">
        <v>2758</v>
      </c>
      <c r="D404" t="s">
        <v>6177</v>
      </c>
      <c r="E404" s="2">
        <v>3</v>
      </c>
      <c r="F404" s="2" t="str">
        <f>_xlfn.XLOOKUP(C404,customers!$A$1:$A$1001,customers!$B$1:$B$1001,,0,1)</f>
        <v>Gale Croysdale</v>
      </c>
      <c r="G404" s="2" t="str">
        <f>IF((_xlfn.XLOOKUP(C404,customers!$A$2:$A$1001,customers!$C$2:$C$1001,,,)=0),"",(_xlfn.XLOOKUP(C404,customers!$A$2:$A$1001,customers!$C$2:$C$1001,,0,)))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6"/>
        <v>26.849999999999998</v>
      </c>
      <c r="N404" t="str" cm="1">
        <f t="array" ref="N404">_xlfn.IFS(I404="rob","Robusta",I404="exc","Excesla",I404="ara","Arabica",I404="lib","Liberica")</f>
        <v>Robusta</v>
      </c>
      <c r="O404" t="str" cm="1">
        <f t="array" ref="O404">_xlfn.IFS(J404="m","Medium",J404="l","Light",J404="d","Dark")</f>
        <v>Dark</v>
      </c>
      <c r="P404" t="str">
        <f>_xlfn.XLOOKUP(orders[[#This Row],[Customer ID]],customers!$A$2:$A$1001,customers!$I$2:$I$1001,,0)</f>
        <v>Yes</v>
      </c>
    </row>
    <row r="405" spans="1:16" x14ac:dyDescent="0.3">
      <c r="A405" s="2" t="s">
        <v>2763</v>
      </c>
      <c r="B405" s="6">
        <v>44295</v>
      </c>
      <c r="C405" s="2" t="s">
        <v>2764</v>
      </c>
      <c r="D405" t="s">
        <v>6145</v>
      </c>
      <c r="E405" s="2">
        <v>2</v>
      </c>
      <c r="F405" s="2" t="str">
        <f>_xlfn.XLOOKUP(C405,customers!$A$1:$A$1001,customers!$B$1:$B$1001,,0,1)</f>
        <v>Benedetto Gozzett</v>
      </c>
      <c r="G405" s="2" t="str">
        <f>IF((_xlfn.XLOOKUP(C405,customers!$A$2:$A$1001,customers!$C$2:$C$1001,,,)=0),"",(_xlfn.XLOOKUP(C405,customers!$A$2:$A$1001,customers!$C$2:$C$1001,,0,)))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6"/>
        <v>9.51</v>
      </c>
      <c r="N405" t="str" cm="1">
        <f t="array" ref="N405">_xlfn.IFS(I405="rob","Robusta",I405="exc","Excesla",I405="ara","Arabica",I405="lib","Liberica")</f>
        <v>Liberica</v>
      </c>
      <c r="O405" t="str" cm="1">
        <f t="array" ref="O405">_xlfn.IFS(J405="m","Medium",J405="l","Light",J405="d","Dark")</f>
        <v>Light</v>
      </c>
      <c r="P405" t="str">
        <f>_xlfn.XLOOKUP(orders[[#This Row],[Customer ID]],customers!$A$2:$A$1001,customers!$I$2:$I$1001,,0)</f>
        <v>No</v>
      </c>
    </row>
    <row r="406" spans="1:16" x14ac:dyDescent="0.3">
      <c r="A406" s="2" t="s">
        <v>2769</v>
      </c>
      <c r="B406" s="6">
        <v>43971</v>
      </c>
      <c r="C406" s="2" t="s">
        <v>2770</v>
      </c>
      <c r="D406" t="s">
        <v>6147</v>
      </c>
      <c r="E406" s="2">
        <v>4</v>
      </c>
      <c r="F406" s="2" t="str">
        <f>_xlfn.XLOOKUP(C406,customers!$A$1:$A$1001,customers!$B$1:$B$1001,,0,1)</f>
        <v>Tania Craggs</v>
      </c>
      <c r="G406" s="2" t="str">
        <f>IF((_xlfn.XLOOKUP(C406,customers!$A$2:$A$1001,customers!$C$2:$C$1001,,,)=0),"",(_xlfn.XLOOKUP(C406,customers!$A$2:$A$1001,customers!$C$2:$C$1001,,0,)))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6"/>
        <v>39.799999999999997</v>
      </c>
      <c r="N406" t="str" cm="1">
        <f t="array" ref="N406">_xlfn.IFS(I406="rob","Robusta",I406="exc","Excesla",I406="ara","Arabica",I406="lib","Liberica")</f>
        <v>Arabica</v>
      </c>
      <c r="O406" t="str" cm="1">
        <f t="array" ref="O406">_xlfn.IFS(J406="m","Medium",J406="l","Light",J406="d","Dark")</f>
        <v>Dark</v>
      </c>
      <c r="P406" t="str">
        <f>_xlfn.XLOOKUP(orders[[#This Row],[Customer ID]],customers!$A$2:$A$1001,customers!$I$2:$I$1001,,0)</f>
        <v>No</v>
      </c>
    </row>
    <row r="407" spans="1:16" x14ac:dyDescent="0.3">
      <c r="A407" s="2" t="s">
        <v>2775</v>
      </c>
      <c r="B407" s="6">
        <v>44167</v>
      </c>
      <c r="C407" s="2" t="s">
        <v>2776</v>
      </c>
      <c r="D407" t="s">
        <v>6139</v>
      </c>
      <c r="E407" s="2">
        <v>3</v>
      </c>
      <c r="F407" s="2" t="str">
        <f>_xlfn.XLOOKUP(C407,customers!$A$1:$A$1001,customers!$B$1:$B$1001,,0,1)</f>
        <v>Leonie Cullrford</v>
      </c>
      <c r="G407" s="2" t="str">
        <f>IF((_xlfn.XLOOKUP(C407,customers!$A$2:$A$1001,customers!$C$2:$C$1001,,,)=0),"",(_xlfn.XLOOKUP(C407,customers!$A$2:$A$1001,customers!$C$2:$C$1001,,0,)))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6"/>
        <v>24.75</v>
      </c>
      <c r="N407" t="str" cm="1">
        <f t="array" ref="N407">_xlfn.IFS(I407="rob","Robusta",I407="exc","Excesla",I407="ara","Arabica",I407="lib","Liberica")</f>
        <v>Excesla</v>
      </c>
      <c r="O407" t="str" cm="1">
        <f t="array" ref="O407">_xlfn.IFS(J407="m","Medium",J407="l","Light",J407="d","Dark")</f>
        <v>Medium</v>
      </c>
      <c r="P407" t="str">
        <f>_xlfn.XLOOKUP(orders[[#This Row],[Customer ID]],customers!$A$2:$A$1001,customers!$I$2:$I$1001,,0)</f>
        <v>Yes</v>
      </c>
    </row>
    <row r="408" spans="1:16" x14ac:dyDescent="0.3">
      <c r="A408" s="2" t="s">
        <v>2781</v>
      </c>
      <c r="B408" s="6">
        <v>44416</v>
      </c>
      <c r="C408" s="2" t="s">
        <v>2782</v>
      </c>
      <c r="D408" t="s">
        <v>6141</v>
      </c>
      <c r="E408" s="2">
        <v>5</v>
      </c>
      <c r="F408" s="2" t="str">
        <f>_xlfn.XLOOKUP(C408,customers!$A$1:$A$1001,customers!$B$1:$B$1001,,0,1)</f>
        <v>Auguste Rizon</v>
      </c>
      <c r="G408" s="2" t="str">
        <f>IF((_xlfn.XLOOKUP(C408,customers!$A$2:$A$1001,customers!$C$2:$C$1001,,,)=0),"",(_xlfn.XLOOKUP(C408,customers!$A$2:$A$1001,customers!$C$2:$C$1001,,0,)))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6"/>
        <v>68.75</v>
      </c>
      <c r="N408" t="str" cm="1">
        <f t="array" ref="N408">_xlfn.IFS(I408="rob","Robusta",I408="exc","Excesla",I408="ara","Arabica",I408="lib","Liberica")</f>
        <v>Excesla</v>
      </c>
      <c r="O408" t="str" cm="1">
        <f t="array" ref="O408">_xlfn.IFS(J408="m","Medium",J408="l","Light",J408="d","Dark")</f>
        <v>Medium</v>
      </c>
      <c r="P408" t="str">
        <f>_xlfn.XLOOKUP(orders[[#This Row],[Customer ID]],customers!$A$2:$A$1001,customers!$I$2:$I$1001,,0)</f>
        <v>Yes</v>
      </c>
    </row>
    <row r="409" spans="1:16" x14ac:dyDescent="0.3">
      <c r="A409" s="2" t="s">
        <v>2787</v>
      </c>
      <c r="B409" s="6">
        <v>44595</v>
      </c>
      <c r="C409" s="2" t="s">
        <v>2788</v>
      </c>
      <c r="D409" t="s">
        <v>6139</v>
      </c>
      <c r="E409" s="2">
        <v>6</v>
      </c>
      <c r="F409" s="2" t="str">
        <f>_xlfn.XLOOKUP(C409,customers!$A$1:$A$1001,customers!$B$1:$B$1001,,0,1)</f>
        <v>Lorin Guerrazzi</v>
      </c>
      <c r="G409" s="2" t="str">
        <f>IF((_xlfn.XLOOKUP(C409,customers!$A$2:$A$1001,customers!$C$2:$C$1001,,,)=0),"",(_xlfn.XLOOKUP(C409,customers!$A$2:$A$1001,customers!$C$2:$C$1001,,0,)))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6"/>
        <v>49.5</v>
      </c>
      <c r="N409" t="str" cm="1">
        <f t="array" ref="N409">_xlfn.IFS(I409="rob","Robusta",I409="exc","Excesla",I409="ara","Arabica",I409="lib","Liberica")</f>
        <v>Excesla</v>
      </c>
      <c r="O409" t="str" cm="1">
        <f t="array" ref="O409">_xlfn.IFS(J409="m","Medium",J409="l","Light",J409="d","Dark")</f>
        <v>Medium</v>
      </c>
      <c r="P409" t="str">
        <f>_xlfn.XLOOKUP(orders[[#This Row],[Customer ID]],customers!$A$2:$A$1001,customers!$I$2:$I$1001,,0)</f>
        <v>No</v>
      </c>
    </row>
    <row r="410" spans="1:16" x14ac:dyDescent="0.3">
      <c r="A410" s="2" t="s">
        <v>2792</v>
      </c>
      <c r="B410" s="6">
        <v>44659</v>
      </c>
      <c r="C410" s="2" t="s">
        <v>2793</v>
      </c>
      <c r="D410" t="s">
        <v>6175</v>
      </c>
      <c r="E410" s="2">
        <v>2</v>
      </c>
      <c r="F410" s="2" t="str">
        <f>_xlfn.XLOOKUP(C410,customers!$A$1:$A$1001,customers!$B$1:$B$1001,,0,1)</f>
        <v>Felice Miell</v>
      </c>
      <c r="G410" s="2" t="str">
        <f>IF((_xlfn.XLOOKUP(C410,customers!$A$2:$A$1001,customers!$C$2:$C$1001,,,)=0),"",(_xlfn.XLOOKUP(C410,customers!$A$2:$A$1001,customers!$C$2:$C$1001,,0,)))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6"/>
        <v>51.749999999999993</v>
      </c>
      <c r="N410" t="str" cm="1">
        <f t="array" ref="N410">_xlfn.IFS(I410="rob","Robusta",I410="exc","Excesla",I410="ara","Arabica",I410="lib","Liberica")</f>
        <v>Arabica</v>
      </c>
      <c r="O410" t="str" cm="1">
        <f t="array" ref="O410">_xlfn.IFS(J410="m","Medium",J410="l","Light",J410="d","Dark")</f>
        <v>Medium</v>
      </c>
      <c r="P410" t="str">
        <f>_xlfn.XLOOKUP(orders[[#This Row],[Customer ID]],customers!$A$2:$A$1001,customers!$I$2:$I$1001,,0)</f>
        <v>Yes</v>
      </c>
    </row>
    <row r="411" spans="1:16" x14ac:dyDescent="0.3">
      <c r="A411" s="2" t="s">
        <v>2798</v>
      </c>
      <c r="B411" s="6">
        <v>44203</v>
      </c>
      <c r="C411" s="2" t="s">
        <v>2799</v>
      </c>
      <c r="D411" t="s">
        <v>6170</v>
      </c>
      <c r="E411" s="2">
        <v>3</v>
      </c>
      <c r="F411" s="2" t="str">
        <f>_xlfn.XLOOKUP(C411,customers!$A$1:$A$1001,customers!$B$1:$B$1001,,0,1)</f>
        <v>Hamish Skeech</v>
      </c>
      <c r="G411" s="2" t="str">
        <f>IF((_xlfn.XLOOKUP(C411,customers!$A$2:$A$1001,customers!$C$2:$C$1001,,,)=0),"",(_xlfn.XLOOKUP(C411,customers!$A$2:$A$1001,customers!$C$2:$C$1001,,0,)))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6"/>
        <v>47.55</v>
      </c>
      <c r="N411" t="str" cm="1">
        <f t="array" ref="N411">_xlfn.IFS(I411="rob","Robusta",I411="exc","Excesla",I411="ara","Arabica",I411="lib","Liberica")</f>
        <v>Liberica</v>
      </c>
      <c r="O411" t="str" cm="1">
        <f t="array" ref="O411">_xlfn.IFS(J411="m","Medium",J411="l","Light",J411="d","Dark")</f>
        <v>Light</v>
      </c>
      <c r="P411" t="str">
        <f>_xlfn.XLOOKUP(orders[[#This Row],[Customer ID]],customers!$A$2:$A$1001,customers!$I$2:$I$1001,,0)</f>
        <v>Yes</v>
      </c>
    </row>
    <row r="412" spans="1:16" x14ac:dyDescent="0.3">
      <c r="A412" s="2" t="s">
        <v>2803</v>
      </c>
      <c r="B412" s="6">
        <v>44441</v>
      </c>
      <c r="C412" s="2" t="s">
        <v>2804</v>
      </c>
      <c r="D412" t="s">
        <v>6167</v>
      </c>
      <c r="E412" s="2">
        <v>4</v>
      </c>
      <c r="F412" s="2" t="str">
        <f>_xlfn.XLOOKUP(C412,customers!$A$1:$A$1001,customers!$B$1:$B$1001,,0,1)</f>
        <v>Giordano Lorenzin</v>
      </c>
      <c r="G412" s="2" t="str">
        <f>IF((_xlfn.XLOOKUP(C412,customers!$A$2:$A$1001,customers!$C$2:$C$1001,,,)=0),"",(_xlfn.XLOOKUP(C412,customers!$A$2:$A$1001,customers!$C$2:$C$1001,,0,)))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6"/>
        <v>15.54</v>
      </c>
      <c r="N412" t="str" cm="1">
        <f t="array" ref="N412">_xlfn.IFS(I412="rob","Robusta",I412="exc","Excesla",I412="ara","Arabica",I412="lib","Liberica")</f>
        <v>Arabica</v>
      </c>
      <c r="O412" t="str" cm="1">
        <f t="array" ref="O412">_xlfn.IFS(J412="m","Medium",J412="l","Light",J412="d","Dark")</f>
        <v>Light</v>
      </c>
      <c r="P412" t="str">
        <f>_xlfn.XLOOKUP(orders[[#This Row],[Customer ID]],customers!$A$2:$A$1001,customers!$I$2:$I$1001,,0)</f>
        <v>No</v>
      </c>
    </row>
    <row r="413" spans="1:16" x14ac:dyDescent="0.3">
      <c r="A413" s="2" t="s">
        <v>2808</v>
      </c>
      <c r="B413" s="6">
        <v>44504</v>
      </c>
      <c r="C413" s="2" t="s">
        <v>2809</v>
      </c>
      <c r="D413" t="s">
        <v>6162</v>
      </c>
      <c r="E413" s="2">
        <v>6</v>
      </c>
      <c r="F413" s="2" t="str">
        <f>_xlfn.XLOOKUP(C413,customers!$A$1:$A$1001,customers!$B$1:$B$1001,,0,1)</f>
        <v>Harwilll Bishell</v>
      </c>
      <c r="G413" s="2" t="str">
        <f>IF((_xlfn.XLOOKUP(C413,customers!$A$2:$A$1001,customers!$C$2:$C$1001,,,)=0),"",(_xlfn.XLOOKUP(C413,customers!$A$2:$A$1001,customers!$C$2:$C$1001,,0,)))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6"/>
        <v>87.300000000000011</v>
      </c>
      <c r="N413" t="str" cm="1">
        <f t="array" ref="N413">_xlfn.IFS(I413="rob","Robusta",I413="exc","Excesla",I413="ara","Arabica",I413="lib","Liberica")</f>
        <v>Liberica</v>
      </c>
      <c r="O413" t="str" cm="1">
        <f t="array" ref="O413">_xlfn.IFS(J413="m","Medium",J413="l","Light",J413="d","Dark")</f>
        <v>Medium</v>
      </c>
      <c r="P413" t="str">
        <f>_xlfn.XLOOKUP(orders[[#This Row],[Customer ID]],customers!$A$2:$A$1001,customers!$I$2:$I$1001,,0)</f>
        <v>Yes</v>
      </c>
    </row>
    <row r="414" spans="1:16" x14ac:dyDescent="0.3">
      <c r="A414" s="2" t="s">
        <v>2813</v>
      </c>
      <c r="B414" s="6">
        <v>44410</v>
      </c>
      <c r="C414" s="2" t="s">
        <v>2814</v>
      </c>
      <c r="D414" t="s">
        <v>6155</v>
      </c>
      <c r="E414" s="2">
        <v>5</v>
      </c>
      <c r="F414" s="2" t="str">
        <f>_xlfn.XLOOKUP(C414,customers!$A$1:$A$1001,customers!$B$1:$B$1001,,0,1)</f>
        <v>Freeland Missenden</v>
      </c>
      <c r="G414" s="2" t="str">
        <f>IF((_xlfn.XLOOKUP(C414,customers!$A$2:$A$1001,customers!$C$2:$C$1001,,,)=0),"",(_xlfn.XLOOKUP(C414,customers!$A$2:$A$1001,customers!$C$2:$C$1001,,0,)))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6"/>
        <v>56.25</v>
      </c>
      <c r="N414" t="str" cm="1">
        <f t="array" ref="N414">_xlfn.IFS(I414="rob","Robusta",I414="exc","Excesla",I414="ara","Arabica",I414="lib","Liberica")</f>
        <v>Arabica</v>
      </c>
      <c r="O414" t="str" cm="1">
        <f t="array" ref="O414">_xlfn.IFS(J414="m","Medium",J414="l","Light",J414="d","Dark")</f>
        <v>Medium</v>
      </c>
      <c r="P414" t="str">
        <f>_xlfn.XLOOKUP(orders[[#This Row],[Customer ID]],customers!$A$2:$A$1001,customers!$I$2:$I$1001,,0)</f>
        <v>Yes</v>
      </c>
    </row>
    <row r="415" spans="1:16" x14ac:dyDescent="0.3">
      <c r="A415" s="2" t="s">
        <v>2818</v>
      </c>
      <c r="B415" s="6">
        <v>43857</v>
      </c>
      <c r="C415" s="2" t="s">
        <v>2819</v>
      </c>
      <c r="D415" t="s">
        <v>6164</v>
      </c>
      <c r="E415" s="2">
        <v>1</v>
      </c>
      <c r="F415" s="2" t="str">
        <f>_xlfn.XLOOKUP(C415,customers!$A$1:$A$1001,customers!$B$1:$B$1001,,0,1)</f>
        <v>Waylan Springall</v>
      </c>
      <c r="G415" s="2" t="str">
        <f>IF((_xlfn.XLOOKUP(C415,customers!$A$2:$A$1001,customers!$C$2:$C$1001,,,)=0),"",(_xlfn.XLOOKUP(C415,customers!$A$2:$A$1001,customers!$C$2:$C$1001,,0,)))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6"/>
        <v>36.454999999999998</v>
      </c>
      <c r="N415" t="str" cm="1">
        <f t="array" ref="N415">_xlfn.IFS(I415="rob","Robusta",I415="exc","Excesla",I415="ara","Arabica",I415="lib","Liberica")</f>
        <v>Liberica</v>
      </c>
      <c r="O415" t="str" cm="1">
        <f t="array" ref="O415">_xlfn.IFS(J415="m","Medium",J415="l","Light",J415="d","Dark")</f>
        <v>Light</v>
      </c>
      <c r="P415" t="str">
        <f>_xlfn.XLOOKUP(orders[[#This Row],[Customer ID]],customers!$A$2:$A$1001,customers!$I$2:$I$1001,,0)</f>
        <v>Yes</v>
      </c>
    </row>
    <row r="416" spans="1:16" x14ac:dyDescent="0.3">
      <c r="A416" s="2" t="s">
        <v>2824</v>
      </c>
      <c r="B416" s="6">
        <v>43802</v>
      </c>
      <c r="C416" s="2" t="s">
        <v>2825</v>
      </c>
      <c r="D416" t="s">
        <v>6178</v>
      </c>
      <c r="E416" s="2">
        <v>3</v>
      </c>
      <c r="F416" s="2" t="str">
        <f>_xlfn.XLOOKUP(C416,customers!$A$1:$A$1001,customers!$B$1:$B$1001,,0,1)</f>
        <v>Kiri Avramow</v>
      </c>
      <c r="G416" s="2" t="str">
        <f>IF((_xlfn.XLOOKUP(C416,customers!$A$2:$A$1001,customers!$C$2:$C$1001,,,)=0),"",(_xlfn.XLOOKUP(C416,customers!$A$2:$A$1001,customers!$C$2:$C$1001,,0,)))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6"/>
        <v>10.754999999999999</v>
      </c>
      <c r="N416" t="str" cm="1">
        <f t="array" ref="N416">_xlfn.IFS(I416="rob","Robusta",I416="exc","Excesla",I416="ara","Arabica",I416="lib","Liberica")</f>
        <v>Robusta</v>
      </c>
      <c r="O416" t="str" cm="1">
        <f t="array" ref="O416">_xlfn.IFS(J416="m","Medium",J416="l","Light",J416="d","Dark")</f>
        <v>Light</v>
      </c>
      <c r="P416" t="str">
        <f>_xlfn.XLOOKUP(orders[[#This Row],[Customer ID]],customers!$A$2:$A$1001,customers!$I$2:$I$1001,,0)</f>
        <v>Yes</v>
      </c>
    </row>
    <row r="417" spans="1:16" x14ac:dyDescent="0.3">
      <c r="A417" s="2" t="s">
        <v>2829</v>
      </c>
      <c r="B417" s="6">
        <v>43683</v>
      </c>
      <c r="C417" s="2" t="s">
        <v>2830</v>
      </c>
      <c r="D417" t="s">
        <v>6174</v>
      </c>
      <c r="E417" s="2">
        <v>3</v>
      </c>
      <c r="F417" s="2" t="str">
        <f>_xlfn.XLOOKUP(C417,customers!$A$1:$A$1001,customers!$B$1:$B$1001,,0,1)</f>
        <v>Gregg Hawkyens</v>
      </c>
      <c r="G417" s="2" t="str">
        <f>IF((_xlfn.XLOOKUP(C417,customers!$A$2:$A$1001,customers!$C$2:$C$1001,,,)=0),"",(_xlfn.XLOOKUP(C417,customers!$A$2:$A$1001,customers!$C$2:$C$1001,,0,)))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6"/>
        <v>8.9550000000000001</v>
      </c>
      <c r="N417" t="str" cm="1">
        <f t="array" ref="N417">_xlfn.IFS(I417="rob","Robusta",I417="exc","Excesla",I417="ara","Arabica",I417="lib","Liberica")</f>
        <v>Robusta</v>
      </c>
      <c r="O417" t="str" cm="1">
        <f t="array" ref="O417">_xlfn.IFS(J417="m","Medium",J417="l","Light",J417="d","Dark")</f>
        <v>Medium</v>
      </c>
      <c r="P417" t="str">
        <f>_xlfn.XLOOKUP(orders[[#This Row],[Customer ID]],customers!$A$2:$A$1001,customers!$I$2:$I$1001,,0)</f>
        <v>No</v>
      </c>
    </row>
    <row r="418" spans="1:16" x14ac:dyDescent="0.3">
      <c r="A418" s="2" t="s">
        <v>2834</v>
      </c>
      <c r="B418" s="6">
        <v>43901</v>
      </c>
      <c r="C418" s="2" t="s">
        <v>2835</v>
      </c>
      <c r="D418" t="s">
        <v>6180</v>
      </c>
      <c r="E418" s="2">
        <v>3</v>
      </c>
      <c r="F418" s="2" t="str">
        <f>_xlfn.XLOOKUP(C418,customers!$A$1:$A$1001,customers!$B$1:$B$1001,,0,1)</f>
        <v>Reggis Pracy</v>
      </c>
      <c r="G418" s="2" t="str">
        <f>IF((_xlfn.XLOOKUP(C418,customers!$A$2:$A$1001,customers!$C$2:$C$1001,,,)=0),"",(_xlfn.XLOOKUP(C418,customers!$A$2:$A$1001,customers!$C$2:$C$1001,,0,)))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6"/>
        <v>23.31</v>
      </c>
      <c r="N418" t="str" cm="1">
        <f t="array" ref="N418">_xlfn.IFS(I418="rob","Robusta",I418="exc","Excesla",I418="ara","Arabica",I418="lib","Liberica")</f>
        <v>Arabica</v>
      </c>
      <c r="O418" t="str" cm="1">
        <f t="array" ref="O418">_xlfn.IFS(J418="m","Medium",J418="l","Light",J418="d","Dark")</f>
        <v>Light</v>
      </c>
      <c r="P418" t="str">
        <f>_xlfn.XLOOKUP(orders[[#This Row],[Customer ID]],customers!$A$2:$A$1001,customers!$I$2:$I$1001,,0)</f>
        <v>Yes</v>
      </c>
    </row>
    <row r="419" spans="1:16" x14ac:dyDescent="0.3">
      <c r="A419" s="2" t="s">
        <v>2839</v>
      </c>
      <c r="B419" s="6">
        <v>44457</v>
      </c>
      <c r="C419" s="2" t="s">
        <v>2840</v>
      </c>
      <c r="D419" t="s">
        <v>6182</v>
      </c>
      <c r="E419" s="2">
        <v>1</v>
      </c>
      <c r="F419" s="2" t="str">
        <f>_xlfn.XLOOKUP(C419,customers!$A$1:$A$1001,customers!$B$1:$B$1001,,0,1)</f>
        <v>Paula Denis</v>
      </c>
      <c r="G419" s="2" t="str">
        <f>IF((_xlfn.XLOOKUP(C419,customers!$A$2:$A$1001,customers!$C$2:$C$1001,,,)=0),"",(_xlfn.XLOOKUP(C419,customers!$A$2:$A$1001,customers!$C$2:$C$1001,,0,)))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6"/>
        <v>29.784999999999997</v>
      </c>
      <c r="N419" t="str" cm="1">
        <f t="array" ref="N419">_xlfn.IFS(I419="rob","Robusta",I419="exc","Excesla",I419="ara","Arabica",I419="lib","Liberica")</f>
        <v>Arabica</v>
      </c>
      <c r="O419" t="str" cm="1">
        <f t="array" ref="O419">_xlfn.IFS(J419="m","Medium",J419="l","Light",J419="d","Dark")</f>
        <v>Light</v>
      </c>
      <c r="P419" t="str">
        <f>_xlfn.XLOOKUP(orders[[#This Row],[Customer ID]],customers!$A$2:$A$1001,customers!$I$2:$I$1001,,0)</f>
        <v>Yes</v>
      </c>
    </row>
    <row r="420" spans="1:16" x14ac:dyDescent="0.3">
      <c r="A420" s="2" t="s">
        <v>2844</v>
      </c>
      <c r="B420" s="6">
        <v>44142</v>
      </c>
      <c r="C420" s="2" t="s">
        <v>2845</v>
      </c>
      <c r="D420" t="s">
        <v>6182</v>
      </c>
      <c r="E420" s="2">
        <v>5</v>
      </c>
      <c r="F420" s="2" t="str">
        <f>_xlfn.XLOOKUP(C420,customers!$A$1:$A$1001,customers!$B$1:$B$1001,,0,1)</f>
        <v>Broderick McGilvra</v>
      </c>
      <c r="G420" s="2" t="str">
        <f>IF((_xlfn.XLOOKUP(C420,customers!$A$2:$A$1001,customers!$C$2:$C$1001,,,)=0),"",(_xlfn.XLOOKUP(C420,customers!$A$2:$A$1001,customers!$C$2:$C$1001,,0,)))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6"/>
        <v>148.92499999999998</v>
      </c>
      <c r="N420" t="str" cm="1">
        <f t="array" ref="N420">_xlfn.IFS(I420="rob","Robusta",I420="exc","Excesla",I420="ara","Arabica",I420="lib","Liberica")</f>
        <v>Arabica</v>
      </c>
      <c r="O420" t="str" cm="1">
        <f t="array" ref="O420">_xlfn.IFS(J420="m","Medium",J420="l","Light",J420="d","Dark")</f>
        <v>Light</v>
      </c>
      <c r="P420" t="str">
        <f>_xlfn.XLOOKUP(orders[[#This Row],[Customer ID]],customers!$A$2:$A$1001,customers!$I$2:$I$1001,,0)</f>
        <v>Yes</v>
      </c>
    </row>
    <row r="421" spans="1:16" x14ac:dyDescent="0.3">
      <c r="A421" s="2" t="s">
        <v>2849</v>
      </c>
      <c r="B421" s="6">
        <v>44739</v>
      </c>
      <c r="C421" s="2" t="s">
        <v>2850</v>
      </c>
      <c r="D421" t="s">
        <v>6160</v>
      </c>
      <c r="E421" s="2">
        <v>1</v>
      </c>
      <c r="F421" s="2" t="str">
        <f>_xlfn.XLOOKUP(C421,customers!$A$1:$A$1001,customers!$B$1:$B$1001,,0,1)</f>
        <v>Annabella Danzey</v>
      </c>
      <c r="G421" s="2" t="str">
        <f>IF((_xlfn.XLOOKUP(C421,customers!$A$2:$A$1001,customers!$C$2:$C$1001,,,)=0),"",(_xlfn.XLOOKUP(C421,customers!$A$2:$A$1001,customers!$C$2:$C$1001,,0,)))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6"/>
        <v>8.73</v>
      </c>
      <c r="N421" t="str" cm="1">
        <f t="array" ref="N421">_xlfn.IFS(I421="rob","Robusta",I421="exc","Excesla",I421="ara","Arabica",I421="lib","Liberica")</f>
        <v>Liberica</v>
      </c>
      <c r="O421" t="str" cm="1">
        <f t="array" ref="O421">_xlfn.IFS(J421="m","Medium",J421="l","Light",J421="d","Dark")</f>
        <v>Medium</v>
      </c>
      <c r="P421" t="str">
        <f>_xlfn.XLOOKUP(orders[[#This Row],[Customer ID]],customers!$A$2:$A$1001,customers!$I$2:$I$1001,,0)</f>
        <v>Yes</v>
      </c>
    </row>
    <row r="422" spans="1:16" x14ac:dyDescent="0.3">
      <c r="A422" s="2" t="s">
        <v>2855</v>
      </c>
      <c r="B422" s="6">
        <v>43866</v>
      </c>
      <c r="C422" s="2" t="s">
        <v>2586</v>
      </c>
      <c r="D422" t="s">
        <v>6169</v>
      </c>
      <c r="E422" s="2">
        <v>4</v>
      </c>
      <c r="F422" s="2" t="str">
        <f>_xlfn.XLOOKUP(C422,customers!$A$1:$A$1001,customers!$B$1:$B$1001,,0,1)</f>
        <v>Terri Farra</v>
      </c>
      <c r="G422" s="2" t="str">
        <f>IF((_xlfn.XLOOKUP(C422,customers!$A$2:$A$1001,customers!$C$2:$C$1001,,,)=0),"",(_xlfn.XLOOKUP(C422,customers!$A$2:$A$1001,customers!$C$2:$C$1001,,0,)))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6"/>
        <v>31.08</v>
      </c>
      <c r="N422" t="str" cm="1">
        <f t="array" ref="N422">_xlfn.IFS(I422="rob","Robusta",I422="exc","Excesla",I422="ara","Arabica",I422="lib","Liberica")</f>
        <v>Liberica</v>
      </c>
      <c r="O422" t="str" cm="1">
        <f t="array" ref="O422">_xlfn.IFS(J422="m","Medium",J422="l","Light",J422="d","Dark")</f>
        <v>Dark</v>
      </c>
      <c r="P422" t="str">
        <f>_xlfn.XLOOKUP(orders[[#This Row],[Customer ID]],customers!$A$2:$A$1001,customers!$I$2:$I$1001,,0)</f>
        <v>No</v>
      </c>
    </row>
    <row r="423" spans="1:16" x14ac:dyDescent="0.3">
      <c r="A423" s="2" t="s">
        <v>2855</v>
      </c>
      <c r="B423" s="6">
        <v>43866</v>
      </c>
      <c r="C423" s="2" t="s">
        <v>2586</v>
      </c>
      <c r="D423" t="s">
        <v>6168</v>
      </c>
      <c r="E423" s="2">
        <v>6</v>
      </c>
      <c r="F423" s="2" t="str">
        <f>_xlfn.XLOOKUP(C423,customers!$A$1:$A$1001,customers!$B$1:$B$1001,,0,1)</f>
        <v>Terri Farra</v>
      </c>
      <c r="G423" s="2" t="str">
        <f>IF((_xlfn.XLOOKUP(C423,customers!$A$2:$A$1001,customers!$C$2:$C$1001,,,)=0),"",(_xlfn.XLOOKUP(C423,customers!$A$2:$A$1001,customers!$C$2:$C$1001,,0,)))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6"/>
        <v>137.31</v>
      </c>
      <c r="N423" t="str" cm="1">
        <f t="array" ref="N423">_xlfn.IFS(I423="rob","Robusta",I423="exc","Excesla",I423="ara","Arabica",I423="lib","Liberica")</f>
        <v>Arabica</v>
      </c>
      <c r="O423" t="str" cm="1">
        <f t="array" ref="O423">_xlfn.IFS(J423="m","Medium",J423="l","Light",J423="d","Dark")</f>
        <v>Dark</v>
      </c>
      <c r="P423" t="str">
        <f>_xlfn.XLOOKUP(orders[[#This Row],[Customer ID]],customers!$A$2:$A$1001,customers!$I$2:$I$1001,,0)</f>
        <v>No</v>
      </c>
    </row>
    <row r="424" spans="1:16" x14ac:dyDescent="0.3">
      <c r="A424" s="2" t="s">
        <v>2866</v>
      </c>
      <c r="B424" s="6">
        <v>43868</v>
      </c>
      <c r="C424" s="2" t="s">
        <v>2867</v>
      </c>
      <c r="D424" t="s">
        <v>6158</v>
      </c>
      <c r="E424" s="2">
        <v>5</v>
      </c>
      <c r="F424" s="2" t="str">
        <f>_xlfn.XLOOKUP(C424,customers!$A$1:$A$1001,customers!$B$1:$B$1001,,0,1)</f>
        <v>Nevins Glowacz</v>
      </c>
      <c r="G424" s="2" t="str">
        <f>IF((_xlfn.XLOOKUP(C424,customers!$A$2:$A$1001,customers!$C$2:$C$1001,,,)=0),"",(_xlfn.XLOOKUP(C424,customers!$A$2:$A$1001,customers!$C$2:$C$1001,,0,)))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6"/>
        <v>29.849999999999998</v>
      </c>
      <c r="N424" t="str" cm="1">
        <f t="array" ref="N424">_xlfn.IFS(I424="rob","Robusta",I424="exc","Excesla",I424="ara","Arabica",I424="lib","Liberica")</f>
        <v>Arabica</v>
      </c>
      <c r="O424" t="str" cm="1">
        <f t="array" ref="O424">_xlfn.IFS(J424="m","Medium",J424="l","Light",J424="d","Dark")</f>
        <v>Dark</v>
      </c>
      <c r="P424" t="str">
        <f>_xlfn.XLOOKUP(orders[[#This Row],[Customer ID]],customers!$A$2:$A$1001,customers!$I$2:$I$1001,,0)</f>
        <v>No</v>
      </c>
    </row>
    <row r="425" spans="1:16" x14ac:dyDescent="0.3">
      <c r="A425" s="2" t="s">
        <v>2871</v>
      </c>
      <c r="B425" s="6">
        <v>44183</v>
      </c>
      <c r="C425" s="2" t="s">
        <v>2872</v>
      </c>
      <c r="D425" t="s">
        <v>6146</v>
      </c>
      <c r="E425" s="2">
        <v>3</v>
      </c>
      <c r="F425" s="2" t="str">
        <f>_xlfn.XLOOKUP(C425,customers!$A$1:$A$1001,customers!$B$1:$B$1001,,0,1)</f>
        <v>Adelice Isabell</v>
      </c>
      <c r="G425" s="2" t="str">
        <f>IF((_xlfn.XLOOKUP(C425,customers!$A$2:$A$1001,customers!$C$2:$C$1001,,,)=0),"",(_xlfn.XLOOKUP(C425,customers!$A$2:$A$1001,customers!$C$2:$C$1001,,0,)))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6"/>
        <v>17.91</v>
      </c>
      <c r="N425" t="str" cm="1">
        <f t="array" ref="N425">_xlfn.IFS(I425="rob","Robusta",I425="exc","Excesla",I425="ara","Arabica",I425="lib","Liberica")</f>
        <v>Robusta</v>
      </c>
      <c r="O425" t="str" cm="1">
        <f t="array" ref="O425">_xlfn.IFS(J425="m","Medium",J425="l","Light",J425="d","Dark")</f>
        <v>Medium</v>
      </c>
      <c r="P425" t="str">
        <f>_xlfn.XLOOKUP(orders[[#This Row],[Customer ID]],customers!$A$2:$A$1001,customers!$I$2:$I$1001,,0)</f>
        <v>No</v>
      </c>
    </row>
    <row r="426" spans="1:16" x14ac:dyDescent="0.3">
      <c r="A426" s="2" t="s">
        <v>2876</v>
      </c>
      <c r="B426" s="6">
        <v>44431</v>
      </c>
      <c r="C426" s="2" t="s">
        <v>2877</v>
      </c>
      <c r="D426" t="s">
        <v>6176</v>
      </c>
      <c r="E426" s="2">
        <v>3</v>
      </c>
      <c r="F426" s="2" t="str">
        <f>_xlfn.XLOOKUP(C426,customers!$A$1:$A$1001,customers!$B$1:$B$1001,,0,1)</f>
        <v>Yulma Dombrell</v>
      </c>
      <c r="G426" s="2" t="str">
        <f>IF((_xlfn.XLOOKUP(C426,customers!$A$2:$A$1001,customers!$C$2:$C$1001,,,)=0),"",(_xlfn.XLOOKUP(C426,customers!$A$2:$A$1001,customers!$C$2:$C$1001,,0,)))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6"/>
        <v>26.73</v>
      </c>
      <c r="N426" t="str" cm="1">
        <f t="array" ref="N426">_xlfn.IFS(I426="rob","Robusta",I426="exc","Excesla",I426="ara","Arabica",I426="lib","Liberica")</f>
        <v>Excesla</v>
      </c>
      <c r="O426" t="str" cm="1">
        <f t="array" ref="O426">_xlfn.IFS(J426="m","Medium",J426="l","Light",J426="d","Dark")</f>
        <v>Light</v>
      </c>
      <c r="P426" t="str">
        <f>_xlfn.XLOOKUP(orders[[#This Row],[Customer ID]],customers!$A$2:$A$1001,customers!$I$2:$I$1001,,0)</f>
        <v>Yes</v>
      </c>
    </row>
    <row r="427" spans="1:16" x14ac:dyDescent="0.3">
      <c r="A427" s="2" t="s">
        <v>2882</v>
      </c>
      <c r="B427" s="6">
        <v>44428</v>
      </c>
      <c r="C427" s="2" t="s">
        <v>2883</v>
      </c>
      <c r="D427" t="s">
        <v>6177</v>
      </c>
      <c r="E427" s="2">
        <v>2</v>
      </c>
      <c r="F427" s="2" t="str">
        <f>_xlfn.XLOOKUP(C427,customers!$A$1:$A$1001,customers!$B$1:$B$1001,,0,1)</f>
        <v>Alric Darth</v>
      </c>
      <c r="G427" s="2" t="str">
        <f>IF((_xlfn.XLOOKUP(C427,customers!$A$2:$A$1001,customers!$C$2:$C$1001,,,)=0),"",(_xlfn.XLOOKUP(C427,customers!$A$2:$A$1001,customers!$C$2:$C$1001,,0,)))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6"/>
        <v>17.899999999999999</v>
      </c>
      <c r="N427" t="str" cm="1">
        <f t="array" ref="N427">_xlfn.IFS(I427="rob","Robusta",I427="exc","Excesla",I427="ara","Arabica",I427="lib","Liberica")</f>
        <v>Robusta</v>
      </c>
      <c r="O427" t="str" cm="1">
        <f t="array" ref="O427">_xlfn.IFS(J427="m","Medium",J427="l","Light",J427="d","Dark")</f>
        <v>Dark</v>
      </c>
      <c r="P427" t="str">
        <f>_xlfn.XLOOKUP(orders[[#This Row],[Customer ID]],customers!$A$2:$A$1001,customers!$I$2:$I$1001,,0)</f>
        <v>No</v>
      </c>
    </row>
    <row r="428" spans="1:16" x14ac:dyDescent="0.3">
      <c r="A428" s="2" t="s">
        <v>2888</v>
      </c>
      <c r="B428" s="6">
        <v>43556</v>
      </c>
      <c r="C428" s="2" t="s">
        <v>2889</v>
      </c>
      <c r="D428" t="s">
        <v>6178</v>
      </c>
      <c r="E428" s="2">
        <v>4</v>
      </c>
      <c r="F428" s="2" t="str">
        <f>_xlfn.XLOOKUP(C428,customers!$A$1:$A$1001,customers!$B$1:$B$1001,,0,1)</f>
        <v>Manuel Darrigoe</v>
      </c>
      <c r="G428" s="2" t="str">
        <f>IF((_xlfn.XLOOKUP(C428,customers!$A$2:$A$1001,customers!$C$2:$C$1001,,,)=0),"",(_xlfn.XLOOKUP(C428,customers!$A$2:$A$1001,customers!$C$2:$C$1001,,0,)))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6"/>
        <v>14.339999999999998</v>
      </c>
      <c r="N428" t="str" cm="1">
        <f t="array" ref="N428">_xlfn.IFS(I428="rob","Robusta",I428="exc","Excesla",I428="ara","Arabica",I428="lib","Liberica")</f>
        <v>Robusta</v>
      </c>
      <c r="O428" t="str" cm="1">
        <f t="array" ref="O428">_xlfn.IFS(J428="m","Medium",J428="l","Light",J428="d","Dark")</f>
        <v>Light</v>
      </c>
      <c r="P428" t="str">
        <f>_xlfn.XLOOKUP(orders[[#This Row],[Customer ID]],customers!$A$2:$A$1001,customers!$I$2:$I$1001,,0)</f>
        <v>Yes</v>
      </c>
    </row>
    <row r="429" spans="1:16" x14ac:dyDescent="0.3">
      <c r="A429" s="2" t="s">
        <v>2894</v>
      </c>
      <c r="B429" s="6">
        <v>44224</v>
      </c>
      <c r="C429" s="2" t="s">
        <v>2895</v>
      </c>
      <c r="D429" t="s">
        <v>6175</v>
      </c>
      <c r="E429" s="2">
        <v>3</v>
      </c>
      <c r="F429" s="2" t="str">
        <f>_xlfn.XLOOKUP(C429,customers!$A$1:$A$1001,customers!$B$1:$B$1001,,0,1)</f>
        <v>Kynthia Berick</v>
      </c>
      <c r="G429" s="2" t="str">
        <f>IF((_xlfn.XLOOKUP(C429,customers!$A$2:$A$1001,customers!$C$2:$C$1001,,,)=0),"",(_xlfn.XLOOKUP(C429,customers!$A$2:$A$1001,customers!$C$2:$C$1001,,0,)))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6"/>
        <v>77.624999999999986</v>
      </c>
      <c r="N429" t="str" cm="1">
        <f t="array" ref="N429">_xlfn.IFS(I429="rob","Robusta",I429="exc","Excesla",I429="ara","Arabica",I429="lib","Liberica")</f>
        <v>Arabica</v>
      </c>
      <c r="O429" t="str" cm="1">
        <f t="array" ref="O429">_xlfn.IFS(J429="m","Medium",J429="l","Light",J429="d","Dark")</f>
        <v>Medium</v>
      </c>
      <c r="P429" t="str">
        <f>_xlfn.XLOOKUP(orders[[#This Row],[Customer ID]],customers!$A$2:$A$1001,customers!$I$2:$I$1001,,0)</f>
        <v>Yes</v>
      </c>
    </row>
    <row r="430" spans="1:16" x14ac:dyDescent="0.3">
      <c r="A430" s="2" t="s">
        <v>2899</v>
      </c>
      <c r="B430" s="6">
        <v>43759</v>
      </c>
      <c r="C430" s="2" t="s">
        <v>2900</v>
      </c>
      <c r="D430" t="s">
        <v>6179</v>
      </c>
      <c r="E430" s="2">
        <v>5</v>
      </c>
      <c r="F430" s="2" t="str">
        <f>_xlfn.XLOOKUP(C430,customers!$A$1:$A$1001,customers!$B$1:$B$1001,,0,1)</f>
        <v>Minetta Ackrill</v>
      </c>
      <c r="G430" s="2" t="str">
        <f>IF((_xlfn.XLOOKUP(C430,customers!$A$2:$A$1001,customers!$C$2:$C$1001,,,)=0),"",(_xlfn.XLOOKUP(C430,customers!$A$2:$A$1001,customers!$C$2:$C$1001,,0,)))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6"/>
        <v>59.75</v>
      </c>
      <c r="N430" t="str" cm="1">
        <f t="array" ref="N430">_xlfn.IFS(I430="rob","Robusta",I430="exc","Excesla",I430="ara","Arabica",I430="lib","Liberica")</f>
        <v>Robusta</v>
      </c>
      <c r="O430" t="str" cm="1">
        <f t="array" ref="O430">_xlfn.IFS(J430="m","Medium",J430="l","Light",J430="d","Dark")</f>
        <v>Light</v>
      </c>
      <c r="P430" t="str">
        <f>_xlfn.XLOOKUP(orders[[#This Row],[Customer ID]],customers!$A$2:$A$1001,customers!$I$2:$I$1001,,0)</f>
        <v>No</v>
      </c>
    </row>
    <row r="431" spans="1:16" x14ac:dyDescent="0.3">
      <c r="A431" s="2" t="s">
        <v>2905</v>
      </c>
      <c r="B431" s="6">
        <v>44367</v>
      </c>
      <c r="C431" s="2" t="s">
        <v>2586</v>
      </c>
      <c r="D431" t="s">
        <v>6140</v>
      </c>
      <c r="E431" s="2">
        <v>6</v>
      </c>
      <c r="F431" s="2" t="str">
        <f>_xlfn.XLOOKUP(C431,customers!$A$1:$A$1001,customers!$B$1:$B$1001,,0,1)</f>
        <v>Terri Farra</v>
      </c>
      <c r="G431" s="2" t="str">
        <f>IF((_xlfn.XLOOKUP(C431,customers!$A$2:$A$1001,customers!$C$2:$C$1001,,,)=0),"",(_xlfn.XLOOKUP(C431,customers!$A$2:$A$1001,customers!$C$2:$C$1001,,0,)))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6"/>
        <v>77.699999999999989</v>
      </c>
      <c r="N431" t="str" cm="1">
        <f t="array" ref="N431">_xlfn.IFS(I431="rob","Robusta",I431="exc","Excesla",I431="ara","Arabica",I431="lib","Liberica")</f>
        <v>Arabica</v>
      </c>
      <c r="O431" t="str" cm="1">
        <f t="array" ref="O431">_xlfn.IFS(J431="m","Medium",J431="l","Light",J431="d","Dark")</f>
        <v>Light</v>
      </c>
      <c r="P431" t="str">
        <f>_xlfn.XLOOKUP(orders[[#This Row],[Customer ID]],customers!$A$2:$A$1001,customers!$I$2:$I$1001,,0)</f>
        <v>No</v>
      </c>
    </row>
    <row r="432" spans="1:16" x14ac:dyDescent="0.3">
      <c r="A432" s="2" t="s">
        <v>2911</v>
      </c>
      <c r="B432" s="6">
        <v>44504</v>
      </c>
      <c r="C432" s="2" t="s">
        <v>2912</v>
      </c>
      <c r="D432" t="s">
        <v>6163</v>
      </c>
      <c r="E432" s="2">
        <v>2</v>
      </c>
      <c r="F432" s="2" t="str">
        <f>_xlfn.XLOOKUP(C432,customers!$A$1:$A$1001,customers!$B$1:$B$1001,,0,1)</f>
        <v>Melosa Kippen</v>
      </c>
      <c r="G432" s="2" t="str">
        <f>IF((_xlfn.XLOOKUP(C432,customers!$A$2:$A$1001,customers!$C$2:$C$1001,,,)=0),"",(_xlfn.XLOOKUP(C432,customers!$A$2:$A$1001,customers!$C$2:$C$1001,,0,)))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6"/>
        <v>5.3699999999999992</v>
      </c>
      <c r="N432" t="str" cm="1">
        <f t="array" ref="N432">_xlfn.IFS(I432="rob","Robusta",I432="exc","Excesla",I432="ara","Arabica",I432="lib","Liberica")</f>
        <v>Robusta</v>
      </c>
      <c r="O432" t="str" cm="1">
        <f t="array" ref="O432">_xlfn.IFS(J432="m","Medium",J432="l","Light",J432="d","Dark")</f>
        <v>Dark</v>
      </c>
      <c r="P432" t="str">
        <f>_xlfn.XLOOKUP(orders[[#This Row],[Customer ID]],customers!$A$2:$A$1001,customers!$I$2:$I$1001,,0)</f>
        <v>Yes</v>
      </c>
    </row>
    <row r="433" spans="1:16" x14ac:dyDescent="0.3">
      <c r="A433" s="2" t="s">
        <v>2917</v>
      </c>
      <c r="B433" s="6">
        <v>44291</v>
      </c>
      <c r="C433" s="2" t="s">
        <v>2918</v>
      </c>
      <c r="D433" t="s">
        <v>6185</v>
      </c>
      <c r="E433" s="2">
        <v>3</v>
      </c>
      <c r="F433" s="2" t="str">
        <f>_xlfn.XLOOKUP(C433,customers!$A$1:$A$1001,customers!$B$1:$B$1001,,0,1)</f>
        <v>Witty Ranson</v>
      </c>
      <c r="G433" s="2" t="str">
        <f>IF((_xlfn.XLOOKUP(C433,customers!$A$2:$A$1001,customers!$C$2:$C$1001,,,)=0),"",(_xlfn.XLOOKUP(C433,customers!$A$2:$A$1001,customers!$C$2:$C$1001,,0,)))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6"/>
        <v>83.835000000000008</v>
      </c>
      <c r="N433" t="str" cm="1">
        <f t="array" ref="N433">_xlfn.IFS(I433="rob","Robusta",I433="exc","Excesla",I433="ara","Arabica",I433="lib","Liberica")</f>
        <v>Excesla</v>
      </c>
      <c r="O433" t="str" cm="1">
        <f t="array" ref="O433">_xlfn.IFS(J433="m","Medium",J433="l","Light",J433="d","Dark")</f>
        <v>Dark</v>
      </c>
      <c r="P433" t="str">
        <f>_xlfn.XLOOKUP(orders[[#This Row],[Customer ID]],customers!$A$2:$A$1001,customers!$I$2:$I$1001,,0)</f>
        <v>Yes</v>
      </c>
    </row>
    <row r="434" spans="1:16" x14ac:dyDescent="0.3">
      <c r="A434" s="2" t="s">
        <v>2923</v>
      </c>
      <c r="B434" s="6">
        <v>43808</v>
      </c>
      <c r="C434" s="2" t="s">
        <v>2924</v>
      </c>
      <c r="D434" t="s">
        <v>6155</v>
      </c>
      <c r="E434" s="2">
        <v>2</v>
      </c>
      <c r="F434" s="2" t="str">
        <f>_xlfn.XLOOKUP(C434,customers!$A$1:$A$1001,customers!$B$1:$B$1001,,0,1)</f>
        <v>Rod Gowdie</v>
      </c>
      <c r="G434" s="2" t="str">
        <f>IF((_xlfn.XLOOKUP(C434,customers!$A$2:$A$1001,customers!$C$2:$C$1001,,,)=0),"",(_xlfn.XLOOKUP(C434,customers!$A$2:$A$1001,customers!$C$2:$C$1001,,0,)))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6"/>
        <v>22.5</v>
      </c>
      <c r="N434" t="str" cm="1">
        <f t="array" ref="N434">_xlfn.IFS(I434="rob","Robusta",I434="exc","Excesla",I434="ara","Arabica",I434="lib","Liberica")</f>
        <v>Arabica</v>
      </c>
      <c r="O434" t="str" cm="1">
        <f t="array" ref="O434">_xlfn.IFS(J434="m","Medium",J434="l","Light",J434="d","Dark")</f>
        <v>Medium</v>
      </c>
      <c r="P434" t="str">
        <f>_xlfn.XLOOKUP(orders[[#This Row],[Customer ID]],customers!$A$2:$A$1001,customers!$I$2:$I$1001,,0)</f>
        <v>No</v>
      </c>
    </row>
    <row r="435" spans="1:16" x14ac:dyDescent="0.3">
      <c r="A435" s="2" t="s">
        <v>2928</v>
      </c>
      <c r="B435" s="6">
        <v>44563</v>
      </c>
      <c r="C435" s="2" t="s">
        <v>2929</v>
      </c>
      <c r="D435" t="s">
        <v>6181</v>
      </c>
      <c r="E435" s="2">
        <v>6</v>
      </c>
      <c r="F435" s="2" t="str">
        <f>_xlfn.XLOOKUP(C435,customers!$A$1:$A$1001,customers!$B$1:$B$1001,,0,1)</f>
        <v>Lemuel Rignold</v>
      </c>
      <c r="G435" s="2" t="str">
        <f>IF((_xlfn.XLOOKUP(C435,customers!$A$2:$A$1001,customers!$C$2:$C$1001,,,)=0),"",(_xlfn.XLOOKUP(C435,customers!$A$2:$A$1001,customers!$C$2:$C$1001,,0,)))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6"/>
        <v>200.78999999999996</v>
      </c>
      <c r="N435" t="str" cm="1">
        <f t="array" ref="N435">_xlfn.IFS(I435="rob","Robusta",I435="exc","Excesla",I435="ara","Arabica",I435="lib","Liberica")</f>
        <v>Liberica</v>
      </c>
      <c r="O435" t="str" cm="1">
        <f t="array" ref="O435">_xlfn.IFS(J435="m","Medium",J435="l","Light",J435="d","Dark")</f>
        <v>Medium</v>
      </c>
      <c r="P435" t="str">
        <f>_xlfn.XLOOKUP(orders[[#This Row],[Customer ID]],customers!$A$2:$A$1001,customers!$I$2:$I$1001,,0)</f>
        <v>Yes</v>
      </c>
    </row>
    <row r="436" spans="1:16" x14ac:dyDescent="0.3">
      <c r="A436" s="2" t="s">
        <v>2934</v>
      </c>
      <c r="B436" s="6">
        <v>43807</v>
      </c>
      <c r="C436" s="2" t="s">
        <v>2935</v>
      </c>
      <c r="D436" t="s">
        <v>6155</v>
      </c>
      <c r="E436" s="2">
        <v>6</v>
      </c>
      <c r="F436" s="2" t="str">
        <f>_xlfn.XLOOKUP(C436,customers!$A$1:$A$1001,customers!$B$1:$B$1001,,0,1)</f>
        <v>Nevsa Fields</v>
      </c>
      <c r="G436" s="2" t="str">
        <f>IF((_xlfn.XLOOKUP(C436,customers!$A$2:$A$1001,customers!$C$2:$C$1001,,,)=0),"",(_xlfn.XLOOKUP(C436,customers!$A$2:$A$1001,customers!$C$2:$C$1001,,0,)))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6"/>
        <v>67.5</v>
      </c>
      <c r="N436" t="str" cm="1">
        <f t="array" ref="N436">_xlfn.IFS(I436="rob","Robusta",I436="exc","Excesla",I436="ara","Arabica",I436="lib","Liberica")</f>
        <v>Arabica</v>
      </c>
      <c r="O436" t="str" cm="1">
        <f t="array" ref="O436">_xlfn.IFS(J436="m","Medium",J436="l","Light",J436="d","Dark")</f>
        <v>Medium</v>
      </c>
      <c r="P436" t="str">
        <f>_xlfn.XLOOKUP(orders[[#This Row],[Customer ID]],customers!$A$2:$A$1001,customers!$I$2:$I$1001,,0)</f>
        <v>No</v>
      </c>
    </row>
    <row r="437" spans="1:16" x14ac:dyDescent="0.3">
      <c r="A437" s="2" t="s">
        <v>2939</v>
      </c>
      <c r="B437" s="6">
        <v>44528</v>
      </c>
      <c r="C437" s="2" t="s">
        <v>2940</v>
      </c>
      <c r="D437" t="s">
        <v>6139</v>
      </c>
      <c r="E437" s="2">
        <v>1</v>
      </c>
      <c r="F437" s="2" t="str">
        <f>_xlfn.XLOOKUP(C437,customers!$A$1:$A$1001,customers!$B$1:$B$1001,,0,1)</f>
        <v>Chance Rowthorn</v>
      </c>
      <c r="G437" s="2" t="str">
        <f>IF((_xlfn.XLOOKUP(C437,customers!$A$2:$A$1001,customers!$C$2:$C$1001,,,)=0),"",(_xlfn.XLOOKUP(C437,customers!$A$2:$A$1001,customers!$C$2:$C$1001,,0,)))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6"/>
        <v>8.25</v>
      </c>
      <c r="N437" t="str" cm="1">
        <f t="array" ref="N437">_xlfn.IFS(I437="rob","Robusta",I437="exc","Excesla",I437="ara","Arabica",I437="lib","Liberica")</f>
        <v>Excesla</v>
      </c>
      <c r="O437" t="str" cm="1">
        <f t="array" ref="O437">_xlfn.IFS(J437="m","Medium",J437="l","Light",J437="d","Dark")</f>
        <v>Medium</v>
      </c>
      <c r="P437" t="str">
        <f>_xlfn.XLOOKUP(orders[[#This Row],[Customer ID]],customers!$A$2:$A$1001,customers!$I$2:$I$1001,,0)</f>
        <v>No</v>
      </c>
    </row>
    <row r="438" spans="1:16" x14ac:dyDescent="0.3">
      <c r="A438" s="2" t="s">
        <v>2945</v>
      </c>
      <c r="B438" s="6">
        <v>44631</v>
      </c>
      <c r="C438" s="2" t="s">
        <v>2946</v>
      </c>
      <c r="D438" t="s">
        <v>6145</v>
      </c>
      <c r="E438" s="2">
        <v>2</v>
      </c>
      <c r="F438" s="2" t="str">
        <f>_xlfn.XLOOKUP(C438,customers!$A$1:$A$1001,customers!$B$1:$B$1001,,0,1)</f>
        <v>Orly Ryland</v>
      </c>
      <c r="G438" s="2" t="str">
        <f>IF((_xlfn.XLOOKUP(C438,customers!$A$2:$A$1001,customers!$C$2:$C$1001,,,)=0),"",(_xlfn.XLOOKUP(C438,customers!$A$2:$A$1001,customers!$C$2:$C$1001,,0,)))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6"/>
        <v>9.51</v>
      </c>
      <c r="N438" t="str" cm="1">
        <f t="array" ref="N438">_xlfn.IFS(I438="rob","Robusta",I438="exc","Excesla",I438="ara","Arabica",I438="lib","Liberica")</f>
        <v>Liberica</v>
      </c>
      <c r="O438" t="str" cm="1">
        <f t="array" ref="O438">_xlfn.IFS(J438="m","Medium",J438="l","Light",J438="d","Dark")</f>
        <v>Light</v>
      </c>
      <c r="P438" t="str">
        <f>_xlfn.XLOOKUP(orders[[#This Row],[Customer ID]],customers!$A$2:$A$1001,customers!$I$2:$I$1001,,0)</f>
        <v>Yes</v>
      </c>
    </row>
    <row r="439" spans="1:16" x14ac:dyDescent="0.3">
      <c r="A439" s="2" t="s">
        <v>2951</v>
      </c>
      <c r="B439" s="6">
        <v>44213</v>
      </c>
      <c r="C439" s="2" t="s">
        <v>2952</v>
      </c>
      <c r="D439" t="s">
        <v>6165</v>
      </c>
      <c r="E439" s="2">
        <v>1</v>
      </c>
      <c r="F439" s="2" t="str">
        <f>_xlfn.XLOOKUP(C439,customers!$A$1:$A$1001,customers!$B$1:$B$1001,,0,1)</f>
        <v>Willabella Abramski</v>
      </c>
      <c r="G439" s="2" t="str">
        <f>IF((_xlfn.XLOOKUP(C439,customers!$A$2:$A$1001,customers!$C$2:$C$1001,,,)=0),"",(_xlfn.XLOOKUP(C439,customers!$A$2:$A$1001,customers!$C$2:$C$1001,,0,)))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6"/>
        <v>29.784999999999997</v>
      </c>
      <c r="N439" t="str" cm="1">
        <f t="array" ref="N439">_xlfn.IFS(I439="rob","Robusta",I439="exc","Excesla",I439="ara","Arabica",I439="lib","Liberica")</f>
        <v>Liberica</v>
      </c>
      <c r="O439" t="str" cm="1">
        <f t="array" ref="O439">_xlfn.IFS(J439="m","Medium",J439="l","Light",J439="d","Dark")</f>
        <v>Dark</v>
      </c>
      <c r="P439" t="str">
        <f>_xlfn.XLOOKUP(orders[[#This Row],[Customer ID]],customers!$A$2:$A$1001,customers!$I$2:$I$1001,,0)</f>
        <v>No</v>
      </c>
    </row>
    <row r="440" spans="1:16" x14ac:dyDescent="0.3">
      <c r="A440" s="2" t="s">
        <v>2956</v>
      </c>
      <c r="B440" s="6">
        <v>43483</v>
      </c>
      <c r="C440" s="2" t="s">
        <v>3042</v>
      </c>
      <c r="D440" t="s">
        <v>6169</v>
      </c>
      <c r="E440" s="2">
        <v>2</v>
      </c>
      <c r="F440" s="2" t="str">
        <f>_xlfn.XLOOKUP(C440,customers!$A$1:$A$1001,customers!$B$1:$B$1001,,0,1)</f>
        <v>Morgen Seson</v>
      </c>
      <c r="G440" s="2" t="str">
        <f>IF((_xlfn.XLOOKUP(C440,customers!$A$2:$A$1001,customers!$C$2:$C$1001,,,)=0),"",(_xlfn.XLOOKUP(C440,customers!$A$2:$A$1001,customers!$C$2:$C$1001,,0,)))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6"/>
        <v>15.54</v>
      </c>
      <c r="N440" t="str" cm="1">
        <f t="array" ref="N440">_xlfn.IFS(I440="rob","Robusta",I440="exc","Excesla",I440="ara","Arabica",I440="lib","Liberica")</f>
        <v>Liberica</v>
      </c>
      <c r="O440" t="str" cm="1">
        <f t="array" ref="O440">_xlfn.IFS(J440="m","Medium",J440="l","Light",J440="d","Dark")</f>
        <v>Dark</v>
      </c>
      <c r="P440" t="str">
        <f>_xlfn.XLOOKUP(orders[[#This Row],[Customer ID]],customers!$A$2:$A$1001,customers!$I$2:$I$1001,,0)</f>
        <v>No</v>
      </c>
    </row>
    <row r="441" spans="1:16" x14ac:dyDescent="0.3">
      <c r="A441" s="2" t="s">
        <v>2962</v>
      </c>
      <c r="B441" s="6">
        <v>43562</v>
      </c>
      <c r="C441" s="2" t="s">
        <v>2963</v>
      </c>
      <c r="D441" t="s">
        <v>6176</v>
      </c>
      <c r="E441" s="2">
        <v>4</v>
      </c>
      <c r="F441" s="2" t="str">
        <f>_xlfn.XLOOKUP(C441,customers!$A$1:$A$1001,customers!$B$1:$B$1001,,0,1)</f>
        <v>Chickie Ragless</v>
      </c>
      <c r="G441" s="2" t="str">
        <f>IF((_xlfn.XLOOKUP(C441,customers!$A$2:$A$1001,customers!$C$2:$C$1001,,,)=0),"",(_xlfn.XLOOKUP(C441,customers!$A$2:$A$1001,customers!$C$2:$C$1001,,0,)))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6"/>
        <v>35.64</v>
      </c>
      <c r="N441" t="str" cm="1">
        <f t="array" ref="N441">_xlfn.IFS(I441="rob","Robusta",I441="exc","Excesla",I441="ara","Arabica",I441="lib","Liberica")</f>
        <v>Excesla</v>
      </c>
      <c r="O441" t="str" cm="1">
        <f t="array" ref="O441">_xlfn.IFS(J441="m","Medium",J441="l","Light",J441="d","Dark")</f>
        <v>Light</v>
      </c>
      <c r="P441" t="str">
        <f>_xlfn.XLOOKUP(orders[[#This Row],[Customer ID]],customers!$A$2:$A$1001,customers!$I$2:$I$1001,,0)</f>
        <v>No</v>
      </c>
    </row>
    <row r="442" spans="1:16" x14ac:dyDescent="0.3">
      <c r="A442" s="2" t="s">
        <v>2968</v>
      </c>
      <c r="B442" s="6">
        <v>44230</v>
      </c>
      <c r="C442" s="2" t="s">
        <v>2969</v>
      </c>
      <c r="D442" t="s">
        <v>6175</v>
      </c>
      <c r="E442" s="2">
        <v>4</v>
      </c>
      <c r="F442" s="2" t="str">
        <f>_xlfn.XLOOKUP(C442,customers!$A$1:$A$1001,customers!$B$1:$B$1001,,0,1)</f>
        <v>Freda Hollows</v>
      </c>
      <c r="G442" s="2" t="str">
        <f>IF((_xlfn.XLOOKUP(C442,customers!$A$2:$A$1001,customers!$C$2:$C$1001,,,)=0),"",(_xlfn.XLOOKUP(C442,customers!$A$2:$A$1001,customers!$C$2:$C$1001,,0,)))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6"/>
        <v>103.49999999999999</v>
      </c>
      <c r="N442" t="str" cm="1">
        <f t="array" ref="N442">_xlfn.IFS(I442="rob","Robusta",I442="exc","Excesla",I442="ara","Arabica",I442="lib","Liberica")</f>
        <v>Arabica</v>
      </c>
      <c r="O442" t="str" cm="1">
        <f t="array" ref="O442">_xlfn.IFS(J442="m","Medium",J442="l","Light",J442="d","Dark")</f>
        <v>Medium</v>
      </c>
      <c r="P442" t="str">
        <f>_xlfn.XLOOKUP(orders[[#This Row],[Customer ID]],customers!$A$2:$A$1001,customers!$I$2:$I$1001,,0)</f>
        <v>Yes</v>
      </c>
    </row>
    <row r="443" spans="1:16" x14ac:dyDescent="0.3">
      <c r="A443" s="2" t="s">
        <v>2974</v>
      </c>
      <c r="B443" s="6">
        <v>43573</v>
      </c>
      <c r="C443" s="2" t="s">
        <v>2975</v>
      </c>
      <c r="D443" t="s">
        <v>6183</v>
      </c>
      <c r="E443" s="2">
        <v>3</v>
      </c>
      <c r="F443" s="2" t="str">
        <f>_xlfn.XLOOKUP(C443,customers!$A$1:$A$1001,customers!$B$1:$B$1001,,0,1)</f>
        <v>Livy Lathleiff</v>
      </c>
      <c r="G443" s="2" t="str">
        <f>IF((_xlfn.XLOOKUP(C443,customers!$A$2:$A$1001,customers!$C$2:$C$1001,,,)=0),"",(_xlfn.XLOOKUP(C443,customers!$A$2:$A$1001,customers!$C$2:$C$1001,,0,)))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6"/>
        <v>36.450000000000003</v>
      </c>
      <c r="N443" t="str" cm="1">
        <f t="array" ref="N443">_xlfn.IFS(I443="rob","Robusta",I443="exc","Excesla",I443="ara","Arabica",I443="lib","Liberica")</f>
        <v>Excesla</v>
      </c>
      <c r="O443" t="str" cm="1">
        <f t="array" ref="O443">_xlfn.IFS(J443="m","Medium",J443="l","Light",J443="d","Dark")</f>
        <v>Dark</v>
      </c>
      <c r="P443" t="str">
        <f>_xlfn.XLOOKUP(orders[[#This Row],[Customer ID]],customers!$A$2:$A$1001,customers!$I$2:$I$1001,,0)</f>
        <v>Yes</v>
      </c>
    </row>
    <row r="444" spans="1:16" x14ac:dyDescent="0.3">
      <c r="A444" s="2" t="s">
        <v>2980</v>
      </c>
      <c r="B444" s="6">
        <v>44384</v>
      </c>
      <c r="C444" s="2" t="s">
        <v>2981</v>
      </c>
      <c r="D444" t="s">
        <v>6173</v>
      </c>
      <c r="E444" s="2">
        <v>5</v>
      </c>
      <c r="F444" s="2" t="str">
        <f>_xlfn.XLOOKUP(C444,customers!$A$1:$A$1001,customers!$B$1:$B$1001,,0,1)</f>
        <v>Koralle Heads</v>
      </c>
      <c r="G444" s="2" t="str">
        <f>IF((_xlfn.XLOOKUP(C444,customers!$A$2:$A$1001,customers!$C$2:$C$1001,,,)=0),"",(_xlfn.XLOOKUP(C444,customers!$A$2:$A$1001,customers!$C$2:$C$1001,,0,)))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6"/>
        <v>35.849999999999994</v>
      </c>
      <c r="N444" t="str" cm="1">
        <f t="array" ref="N444">_xlfn.IFS(I444="rob","Robusta",I444="exc","Excesla",I444="ara","Arabica",I444="lib","Liberica")</f>
        <v>Robusta</v>
      </c>
      <c r="O444" t="str" cm="1">
        <f t="array" ref="O444">_xlfn.IFS(J444="m","Medium",J444="l","Light",J444="d","Dark")</f>
        <v>Light</v>
      </c>
      <c r="P444" t="str">
        <f>_xlfn.XLOOKUP(orders[[#This Row],[Customer ID]],customers!$A$2:$A$1001,customers!$I$2:$I$1001,,0)</f>
        <v>No</v>
      </c>
    </row>
    <row r="445" spans="1:16" x14ac:dyDescent="0.3">
      <c r="A445" s="2" t="s">
        <v>2986</v>
      </c>
      <c r="B445" s="6">
        <v>44250</v>
      </c>
      <c r="C445" s="2" t="s">
        <v>2987</v>
      </c>
      <c r="D445" t="s">
        <v>6184</v>
      </c>
      <c r="E445" s="2">
        <v>5</v>
      </c>
      <c r="F445" s="2" t="str">
        <f>_xlfn.XLOOKUP(C445,customers!$A$1:$A$1001,customers!$B$1:$B$1001,,0,1)</f>
        <v>Theo Bowne</v>
      </c>
      <c r="G445" s="2" t="str">
        <f>IF((_xlfn.XLOOKUP(C445,customers!$A$2:$A$1001,customers!$C$2:$C$1001,,,)=0),"",(_xlfn.XLOOKUP(C445,customers!$A$2:$A$1001,customers!$C$2:$C$1001,,0,)))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6"/>
        <v>22.274999999999999</v>
      </c>
      <c r="N445" t="str" cm="1">
        <f t="array" ref="N445">_xlfn.IFS(I445="rob","Robusta",I445="exc","Excesla",I445="ara","Arabica",I445="lib","Liberica")</f>
        <v>Excesla</v>
      </c>
      <c r="O445" t="str" cm="1">
        <f t="array" ref="O445">_xlfn.IFS(J445="m","Medium",J445="l","Light",J445="d","Dark")</f>
        <v>Light</v>
      </c>
      <c r="P445" t="str">
        <f>_xlfn.XLOOKUP(orders[[#This Row],[Customer ID]],customers!$A$2:$A$1001,customers!$I$2:$I$1001,,0)</f>
        <v>Yes</v>
      </c>
    </row>
    <row r="446" spans="1:16" x14ac:dyDescent="0.3">
      <c r="A446" s="2" t="s">
        <v>2992</v>
      </c>
      <c r="B446" s="6">
        <v>44418</v>
      </c>
      <c r="C446" s="2" t="s">
        <v>2993</v>
      </c>
      <c r="D446" t="s">
        <v>6156</v>
      </c>
      <c r="E446" s="2">
        <v>6</v>
      </c>
      <c r="F446" s="2" t="str">
        <f>_xlfn.XLOOKUP(C446,customers!$A$1:$A$1001,customers!$B$1:$B$1001,,0,1)</f>
        <v>Rasia Jacquemard</v>
      </c>
      <c r="G446" s="2" t="str">
        <f>IF((_xlfn.XLOOKUP(C446,customers!$A$2:$A$1001,customers!$C$2:$C$1001,,,)=0),"",(_xlfn.XLOOKUP(C446,customers!$A$2:$A$1001,customers!$C$2:$C$1001,,0,)))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6"/>
        <v>24.75</v>
      </c>
      <c r="N446" t="str" cm="1">
        <f t="array" ref="N446">_xlfn.IFS(I446="rob","Robusta",I446="exc","Excesla",I446="ara","Arabica",I446="lib","Liberica")</f>
        <v>Excesla</v>
      </c>
      <c r="O446" t="str" cm="1">
        <f t="array" ref="O446">_xlfn.IFS(J446="m","Medium",J446="l","Light",J446="d","Dark")</f>
        <v>Medium</v>
      </c>
      <c r="P446" t="str">
        <f>_xlfn.XLOOKUP(orders[[#This Row],[Customer ID]],customers!$A$2:$A$1001,customers!$I$2:$I$1001,,0)</f>
        <v>No</v>
      </c>
    </row>
    <row r="447" spans="1:16" x14ac:dyDescent="0.3">
      <c r="A447" s="2" t="s">
        <v>2999</v>
      </c>
      <c r="B447" s="6">
        <v>43784</v>
      </c>
      <c r="C447" s="2" t="s">
        <v>3000</v>
      </c>
      <c r="D447" t="s">
        <v>6181</v>
      </c>
      <c r="E447" s="2">
        <v>2</v>
      </c>
      <c r="F447" s="2" t="str">
        <f>_xlfn.XLOOKUP(C447,customers!$A$1:$A$1001,customers!$B$1:$B$1001,,0,1)</f>
        <v>Kizzie Warman</v>
      </c>
      <c r="G447" s="2" t="str">
        <f>IF((_xlfn.XLOOKUP(C447,customers!$A$2:$A$1001,customers!$C$2:$C$1001,,,)=0),"",(_xlfn.XLOOKUP(C447,customers!$A$2:$A$1001,customers!$C$2:$C$1001,,0,)))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6"/>
        <v>66.929999999999993</v>
      </c>
      <c r="N447" t="str" cm="1">
        <f t="array" ref="N447">_xlfn.IFS(I447="rob","Robusta",I447="exc","Excesla",I447="ara","Arabica",I447="lib","Liberica")</f>
        <v>Liberica</v>
      </c>
      <c r="O447" t="str" cm="1">
        <f t="array" ref="O447">_xlfn.IFS(J447="m","Medium",J447="l","Light",J447="d","Dark")</f>
        <v>Medium</v>
      </c>
      <c r="P447" t="str">
        <f>_xlfn.XLOOKUP(orders[[#This Row],[Customer ID]],customers!$A$2:$A$1001,customers!$I$2:$I$1001,,0)</f>
        <v>Yes</v>
      </c>
    </row>
    <row r="448" spans="1:16" x14ac:dyDescent="0.3">
      <c r="A448" s="2" t="s">
        <v>3004</v>
      </c>
      <c r="B448" s="6">
        <v>43816</v>
      </c>
      <c r="C448" s="2" t="s">
        <v>3005</v>
      </c>
      <c r="D448" t="s">
        <v>6160</v>
      </c>
      <c r="E448" s="2">
        <v>1</v>
      </c>
      <c r="F448" s="2" t="str">
        <f>_xlfn.XLOOKUP(C448,customers!$A$1:$A$1001,customers!$B$1:$B$1001,,0,1)</f>
        <v>Wain Cholomin</v>
      </c>
      <c r="G448" s="2" t="str">
        <f>IF((_xlfn.XLOOKUP(C448,customers!$A$2:$A$1001,customers!$C$2:$C$1001,,,)=0),"",(_xlfn.XLOOKUP(C448,customers!$A$2:$A$1001,customers!$C$2:$C$1001,,0,)))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6"/>
        <v>8.73</v>
      </c>
      <c r="N448" t="str" cm="1">
        <f t="array" ref="N448">_xlfn.IFS(I448="rob","Robusta",I448="exc","Excesla",I448="ara","Arabica",I448="lib","Liberica")</f>
        <v>Liberica</v>
      </c>
      <c r="O448" t="str" cm="1">
        <f t="array" ref="O448">_xlfn.IFS(J448="m","Medium",J448="l","Light",J448="d","Dark")</f>
        <v>Medium</v>
      </c>
      <c r="P448" t="str">
        <f>_xlfn.XLOOKUP(orders[[#This Row],[Customer ID]],customers!$A$2:$A$1001,customers!$I$2:$I$1001,,0)</f>
        <v>Yes</v>
      </c>
    </row>
    <row r="449" spans="1:16" x14ac:dyDescent="0.3">
      <c r="A449" s="2" t="s">
        <v>3010</v>
      </c>
      <c r="B449" s="6">
        <v>43908</v>
      </c>
      <c r="C449" s="2" t="s">
        <v>3011</v>
      </c>
      <c r="D449" t="s">
        <v>6146</v>
      </c>
      <c r="E449" s="2">
        <v>3</v>
      </c>
      <c r="F449" s="2" t="str">
        <f>_xlfn.XLOOKUP(C449,customers!$A$1:$A$1001,customers!$B$1:$B$1001,,0,1)</f>
        <v>Arleen Braidman</v>
      </c>
      <c r="G449" s="2" t="str">
        <f>IF((_xlfn.XLOOKUP(C449,customers!$A$2:$A$1001,customers!$C$2:$C$1001,,,)=0),"",(_xlfn.XLOOKUP(C449,customers!$A$2:$A$1001,customers!$C$2:$C$1001,,0,)))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6"/>
        <v>17.91</v>
      </c>
      <c r="N449" t="str" cm="1">
        <f t="array" ref="N449">_xlfn.IFS(I449="rob","Robusta",I449="exc","Excesla",I449="ara","Arabica",I449="lib","Liberica")</f>
        <v>Robusta</v>
      </c>
      <c r="O449" t="str" cm="1">
        <f t="array" ref="O449">_xlfn.IFS(J449="m","Medium",J449="l","Light",J449="d","Dark")</f>
        <v>Medium</v>
      </c>
      <c r="P449" t="str">
        <f>_xlfn.XLOOKUP(orders[[#This Row],[Customer ID]],customers!$A$2:$A$1001,customers!$I$2:$I$1001,,0)</f>
        <v>No</v>
      </c>
    </row>
    <row r="450" spans="1:16" x14ac:dyDescent="0.3">
      <c r="A450" s="2" t="s">
        <v>3015</v>
      </c>
      <c r="B450" s="6">
        <v>44718</v>
      </c>
      <c r="C450" s="2" t="s">
        <v>3016</v>
      </c>
      <c r="D450" t="s">
        <v>6173</v>
      </c>
      <c r="E450" s="2">
        <v>1</v>
      </c>
      <c r="F450" s="2" t="str">
        <f>_xlfn.XLOOKUP(C450,customers!$A$1:$A$1001,customers!$B$1:$B$1001,,0,1)</f>
        <v>Pru Durban</v>
      </c>
      <c r="G450" s="2" t="str">
        <f>IF((_xlfn.XLOOKUP(C450,customers!$A$2:$A$1001,customers!$C$2:$C$1001,,,)=0),"",(_xlfn.XLOOKUP(C450,customers!$A$2:$A$1001,customers!$C$2:$C$1001,,0,)))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6"/>
        <v>7.169999999999999</v>
      </c>
      <c r="N450" t="str" cm="1">
        <f t="array" ref="N450">_xlfn.IFS(I450="rob","Robusta",I450="exc","Excesla",I450="ara","Arabica",I450="lib","Liberica")</f>
        <v>Robusta</v>
      </c>
      <c r="O450" t="str" cm="1">
        <f t="array" ref="O450">_xlfn.IFS(J450="m","Medium",J450="l","Light",J450="d","Dark")</f>
        <v>Light</v>
      </c>
      <c r="P450" t="str">
        <f>_xlfn.XLOOKUP(orders[[#This Row],[Customer ID]],customers!$A$2:$A$1001,customers!$I$2:$I$1001,,0)</f>
        <v>No</v>
      </c>
    </row>
    <row r="451" spans="1:16" x14ac:dyDescent="0.3">
      <c r="A451" s="2" t="s">
        <v>3021</v>
      </c>
      <c r="B451" s="6">
        <v>44336</v>
      </c>
      <c r="C451" s="2" t="s">
        <v>3022</v>
      </c>
      <c r="D451" t="s">
        <v>6163</v>
      </c>
      <c r="E451" s="2">
        <v>2</v>
      </c>
      <c r="F451" s="2" t="str">
        <f>_xlfn.XLOOKUP(C451,customers!$A$1:$A$1001,customers!$B$1:$B$1001,,0,1)</f>
        <v>Antone Harrold</v>
      </c>
      <c r="G451" s="2" t="str">
        <f>IF((_xlfn.XLOOKUP(C451,customers!$A$2:$A$1001,customers!$C$2:$C$1001,,,)=0),"",(_xlfn.XLOOKUP(C451,customers!$A$2:$A$1001,customers!$C$2:$C$1001,,0,)))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7">L451*E451</f>
        <v>5.3699999999999992</v>
      </c>
      <c r="N451" t="str" cm="1">
        <f t="array" ref="N451">_xlfn.IFS(I451="rob","Robusta",I451="exc","Excesla",I451="ara","Arabica",I451="lib","Liberica")</f>
        <v>Robusta</v>
      </c>
      <c r="O451" t="str" cm="1">
        <f t="array" ref="O451">_xlfn.IFS(J451="m","Medium",J451="l","Light",J451="d","Dark")</f>
        <v>Dark</v>
      </c>
      <c r="P451" t="str">
        <f>_xlfn.XLOOKUP(orders[[#This Row],[Customer ID]],customers!$A$2:$A$1001,customers!$I$2:$I$1001,,0)</f>
        <v>No</v>
      </c>
    </row>
    <row r="452" spans="1:16" x14ac:dyDescent="0.3">
      <c r="A452" s="2" t="s">
        <v>3027</v>
      </c>
      <c r="B452" s="6">
        <v>44207</v>
      </c>
      <c r="C452" s="2" t="s">
        <v>3028</v>
      </c>
      <c r="D452" t="s">
        <v>6145</v>
      </c>
      <c r="E452" s="2">
        <v>5</v>
      </c>
      <c r="F452" s="2" t="str">
        <f>_xlfn.XLOOKUP(C452,customers!$A$1:$A$1001,customers!$B$1:$B$1001,,0,1)</f>
        <v>Sim Pamphilon</v>
      </c>
      <c r="G452" s="2" t="str">
        <f>IF((_xlfn.XLOOKUP(C452,customers!$A$2:$A$1001,customers!$C$2:$C$1001,,,)=0),"",(_xlfn.XLOOKUP(C452,customers!$A$2:$A$1001,customers!$C$2:$C$1001,,0,)))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7"/>
        <v>23.774999999999999</v>
      </c>
      <c r="N452" t="str" cm="1">
        <f t="array" ref="N452">_xlfn.IFS(I452="rob","Robusta",I452="exc","Excesla",I452="ara","Arabica",I452="lib","Liberica")</f>
        <v>Liberica</v>
      </c>
      <c r="O452" t="str" cm="1">
        <f t="array" ref="O452">_xlfn.IFS(J452="m","Medium",J452="l","Light",J452="d","Dark")</f>
        <v>Light</v>
      </c>
      <c r="P452" t="str">
        <f>_xlfn.XLOOKUP(orders[[#This Row],[Customer ID]],customers!$A$2:$A$1001,customers!$I$2:$I$1001,,0)</f>
        <v>No</v>
      </c>
    </row>
    <row r="453" spans="1:16" x14ac:dyDescent="0.3">
      <c r="A453" s="2" t="s">
        <v>3035</v>
      </c>
      <c r="B453" s="6">
        <v>43518</v>
      </c>
      <c r="C453" s="2" t="s">
        <v>3036</v>
      </c>
      <c r="D453" t="s">
        <v>6149</v>
      </c>
      <c r="E453" s="2">
        <v>2</v>
      </c>
      <c r="F453" s="2" t="str">
        <f>_xlfn.XLOOKUP(C453,customers!$A$1:$A$1001,customers!$B$1:$B$1001,,0,1)</f>
        <v>Mohandis Spurden</v>
      </c>
      <c r="G453" s="2" t="str">
        <f>IF((_xlfn.XLOOKUP(C453,customers!$A$2:$A$1001,customers!$C$2:$C$1001,,,)=0),"",(_xlfn.XLOOKUP(C453,customers!$A$2:$A$1001,customers!$C$2:$C$1001,,0,)))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7"/>
        <v>41.169999999999995</v>
      </c>
      <c r="N453" t="str" cm="1">
        <f t="array" ref="N453">_xlfn.IFS(I453="rob","Robusta",I453="exc","Excesla",I453="ara","Arabica",I453="lib","Liberica")</f>
        <v>Robusta</v>
      </c>
      <c r="O453" t="str" cm="1">
        <f t="array" ref="O453">_xlfn.IFS(J453="m","Medium",J453="l","Light",J453="d","Dark")</f>
        <v>Dark</v>
      </c>
      <c r="P453" t="str">
        <f>_xlfn.XLOOKUP(orders[[#This Row],[Customer ID]],customers!$A$2:$A$1001,customers!$I$2:$I$1001,,0)</f>
        <v>Yes</v>
      </c>
    </row>
    <row r="454" spans="1:16" x14ac:dyDescent="0.3">
      <c r="A454" s="2" t="s">
        <v>3041</v>
      </c>
      <c r="B454" s="6">
        <v>44524</v>
      </c>
      <c r="C454" s="2" t="s">
        <v>3042</v>
      </c>
      <c r="D454" t="s">
        <v>6167</v>
      </c>
      <c r="E454" s="2">
        <v>3</v>
      </c>
      <c r="F454" s="2" t="str">
        <f>_xlfn.XLOOKUP(C454,customers!$A$1:$A$1001,customers!$B$1:$B$1001,,0,1)</f>
        <v>Morgen Seson</v>
      </c>
      <c r="G454" s="2" t="str">
        <f>IF((_xlfn.XLOOKUP(C454,customers!$A$2:$A$1001,customers!$C$2:$C$1001,,,)=0),"",(_xlfn.XLOOKUP(C454,customers!$A$2:$A$1001,customers!$C$2:$C$1001,,0,)))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7"/>
        <v>11.654999999999999</v>
      </c>
      <c r="N454" t="str" cm="1">
        <f t="array" ref="N454">_xlfn.IFS(I454="rob","Robusta",I454="exc","Excesla",I454="ara","Arabica",I454="lib","Liberica")</f>
        <v>Arabica</v>
      </c>
      <c r="O454" t="str" cm="1">
        <f t="array" ref="O454">_xlfn.IFS(J454="m","Medium",J454="l","Light",J454="d","Dark")</f>
        <v>Light</v>
      </c>
      <c r="P454" t="str">
        <f>_xlfn.XLOOKUP(orders[[#This Row],[Customer ID]],customers!$A$2:$A$1001,customers!$I$2:$I$1001,,0)</f>
        <v>No</v>
      </c>
    </row>
    <row r="455" spans="1:16" x14ac:dyDescent="0.3">
      <c r="A455" s="2" t="s">
        <v>3047</v>
      </c>
      <c r="B455" s="6">
        <v>44579</v>
      </c>
      <c r="C455" s="2" t="s">
        <v>3048</v>
      </c>
      <c r="D455" t="s">
        <v>6161</v>
      </c>
      <c r="E455" s="2">
        <v>4</v>
      </c>
      <c r="F455" s="2" t="str">
        <f>_xlfn.XLOOKUP(C455,customers!$A$1:$A$1001,customers!$B$1:$B$1001,,0,1)</f>
        <v>Nalani Pirrone</v>
      </c>
      <c r="G455" s="2" t="str">
        <f>IF((_xlfn.XLOOKUP(C455,customers!$A$2:$A$1001,customers!$C$2:$C$1001,,,)=0),"",(_xlfn.XLOOKUP(C455,customers!$A$2:$A$1001,customers!$C$2:$C$1001,,0,)))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7"/>
        <v>38.04</v>
      </c>
      <c r="N455" t="str" cm="1">
        <f t="array" ref="N455">_xlfn.IFS(I455="rob","Robusta",I455="exc","Excesla",I455="ara","Arabica",I455="lib","Liberica")</f>
        <v>Liberica</v>
      </c>
      <c r="O455" t="str" cm="1">
        <f t="array" ref="O455">_xlfn.IFS(J455="m","Medium",J455="l","Light",J455="d","Dark")</f>
        <v>Light</v>
      </c>
      <c r="P455" t="str">
        <f>_xlfn.XLOOKUP(orders[[#This Row],[Customer ID]],customers!$A$2:$A$1001,customers!$I$2:$I$1001,,0)</f>
        <v>No</v>
      </c>
    </row>
    <row r="456" spans="1:16" x14ac:dyDescent="0.3">
      <c r="A456" s="2" t="s">
        <v>3053</v>
      </c>
      <c r="B456" s="6">
        <v>44421</v>
      </c>
      <c r="C456" s="2" t="s">
        <v>3054</v>
      </c>
      <c r="D456" t="s">
        <v>6149</v>
      </c>
      <c r="E456" s="2">
        <v>4</v>
      </c>
      <c r="F456" s="2" t="str">
        <f>_xlfn.XLOOKUP(C456,customers!$A$1:$A$1001,customers!$B$1:$B$1001,,0,1)</f>
        <v>Reube Cawley</v>
      </c>
      <c r="G456" s="2" t="str">
        <f>IF((_xlfn.XLOOKUP(C456,customers!$A$2:$A$1001,customers!$C$2:$C$1001,,,)=0),"",(_xlfn.XLOOKUP(C456,customers!$A$2:$A$1001,customers!$C$2:$C$1001,,0,)))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7"/>
        <v>82.339999999999989</v>
      </c>
      <c r="N456" t="str" cm="1">
        <f t="array" ref="N456">_xlfn.IFS(I456="rob","Robusta",I456="exc","Excesla",I456="ara","Arabica",I456="lib","Liberica")</f>
        <v>Robusta</v>
      </c>
      <c r="O456" t="str" cm="1">
        <f t="array" ref="O456">_xlfn.IFS(J456="m","Medium",J456="l","Light",J456="d","Dark")</f>
        <v>Dark</v>
      </c>
      <c r="P456" t="str">
        <f>_xlfn.XLOOKUP(orders[[#This Row],[Customer ID]],customers!$A$2:$A$1001,customers!$I$2:$I$1001,,0)</f>
        <v>Yes</v>
      </c>
    </row>
    <row r="457" spans="1:16" x14ac:dyDescent="0.3">
      <c r="A457" s="2" t="s">
        <v>3058</v>
      </c>
      <c r="B457" s="6">
        <v>43841</v>
      </c>
      <c r="C457" s="2" t="s">
        <v>3059</v>
      </c>
      <c r="D457" t="s">
        <v>6145</v>
      </c>
      <c r="E457" s="2">
        <v>2</v>
      </c>
      <c r="F457" s="2" t="str">
        <f>_xlfn.XLOOKUP(C457,customers!$A$1:$A$1001,customers!$B$1:$B$1001,,0,1)</f>
        <v>Stan Barribal</v>
      </c>
      <c r="G457" s="2" t="str">
        <f>IF((_xlfn.XLOOKUP(C457,customers!$A$2:$A$1001,customers!$C$2:$C$1001,,,)=0),"",(_xlfn.XLOOKUP(C457,customers!$A$2:$A$1001,customers!$C$2:$C$1001,,0,)))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7"/>
        <v>9.51</v>
      </c>
      <c r="N457" t="str" cm="1">
        <f t="array" ref="N457">_xlfn.IFS(I457="rob","Robusta",I457="exc","Excesla",I457="ara","Arabica",I457="lib","Liberica")</f>
        <v>Liberica</v>
      </c>
      <c r="O457" t="str" cm="1">
        <f t="array" ref="O457">_xlfn.IFS(J457="m","Medium",J457="l","Light",J457="d","Dark")</f>
        <v>Light</v>
      </c>
      <c r="P457" t="str">
        <f>_xlfn.XLOOKUP(orders[[#This Row],[Customer ID]],customers!$A$2:$A$1001,customers!$I$2:$I$1001,,0)</f>
        <v>Yes</v>
      </c>
    </row>
    <row r="458" spans="1:16" x14ac:dyDescent="0.3">
      <c r="A458" s="2" t="s">
        <v>3064</v>
      </c>
      <c r="B458" s="6">
        <v>44017</v>
      </c>
      <c r="C458" s="2" t="s">
        <v>3065</v>
      </c>
      <c r="D458" t="s">
        <v>6149</v>
      </c>
      <c r="E458" s="2">
        <v>2</v>
      </c>
      <c r="F458" s="2" t="str">
        <f>_xlfn.XLOOKUP(C458,customers!$A$1:$A$1001,customers!$B$1:$B$1001,,0,1)</f>
        <v>Agnes Adamides</v>
      </c>
      <c r="G458" s="2" t="str">
        <f>IF((_xlfn.XLOOKUP(C458,customers!$A$2:$A$1001,customers!$C$2:$C$1001,,,)=0),"",(_xlfn.XLOOKUP(C458,customers!$A$2:$A$1001,customers!$C$2:$C$1001,,0,)))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7"/>
        <v>41.169999999999995</v>
      </c>
      <c r="N458" t="str" cm="1">
        <f t="array" ref="N458">_xlfn.IFS(I458="rob","Robusta",I458="exc","Excesla",I458="ara","Arabica",I458="lib","Liberica")</f>
        <v>Robusta</v>
      </c>
      <c r="O458" t="str" cm="1">
        <f t="array" ref="O458">_xlfn.IFS(J458="m","Medium",J458="l","Light",J458="d","Dark")</f>
        <v>Dark</v>
      </c>
      <c r="P458" t="str">
        <f>_xlfn.XLOOKUP(orders[[#This Row],[Customer ID]],customers!$A$2:$A$1001,customers!$I$2:$I$1001,,0)</f>
        <v>No</v>
      </c>
    </row>
    <row r="459" spans="1:16" x14ac:dyDescent="0.3">
      <c r="A459" s="2" t="s">
        <v>3070</v>
      </c>
      <c r="B459" s="6">
        <v>43671</v>
      </c>
      <c r="C459" s="2" t="s">
        <v>3071</v>
      </c>
      <c r="D459" t="s">
        <v>6161</v>
      </c>
      <c r="E459" s="2">
        <v>5</v>
      </c>
      <c r="F459" s="2" t="str">
        <f>_xlfn.XLOOKUP(C459,customers!$A$1:$A$1001,customers!$B$1:$B$1001,,0,1)</f>
        <v>Carmelita Thowes</v>
      </c>
      <c r="G459" s="2" t="str">
        <f>IF((_xlfn.XLOOKUP(C459,customers!$A$2:$A$1001,customers!$C$2:$C$1001,,,)=0),"",(_xlfn.XLOOKUP(C459,customers!$A$2:$A$1001,customers!$C$2:$C$1001,,0,)))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7"/>
        <v>47.55</v>
      </c>
      <c r="N459" t="str" cm="1">
        <f t="array" ref="N459">_xlfn.IFS(I459="rob","Robusta",I459="exc","Excesla",I459="ara","Arabica",I459="lib","Liberica")</f>
        <v>Liberica</v>
      </c>
      <c r="O459" t="str" cm="1">
        <f t="array" ref="O459">_xlfn.IFS(J459="m","Medium",J459="l","Light",J459="d","Dark")</f>
        <v>Light</v>
      </c>
      <c r="P459" t="str">
        <f>_xlfn.XLOOKUP(orders[[#This Row],[Customer ID]],customers!$A$2:$A$1001,customers!$I$2:$I$1001,,0)</f>
        <v>No</v>
      </c>
    </row>
    <row r="460" spans="1:16" x14ac:dyDescent="0.3">
      <c r="A460" s="2" t="s">
        <v>3076</v>
      </c>
      <c r="B460" s="6">
        <v>44707</v>
      </c>
      <c r="C460" s="2" t="s">
        <v>3077</v>
      </c>
      <c r="D460" t="s">
        <v>6155</v>
      </c>
      <c r="E460" s="2">
        <v>4</v>
      </c>
      <c r="F460" s="2" t="str">
        <f>_xlfn.XLOOKUP(C460,customers!$A$1:$A$1001,customers!$B$1:$B$1001,,0,1)</f>
        <v>Rodolfo Willoway</v>
      </c>
      <c r="G460" s="2" t="str">
        <f>IF((_xlfn.XLOOKUP(C460,customers!$A$2:$A$1001,customers!$C$2:$C$1001,,,)=0),"",(_xlfn.XLOOKUP(C460,customers!$A$2:$A$1001,customers!$C$2:$C$1001,,0,)))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7"/>
        <v>45</v>
      </c>
      <c r="N460" t="str" cm="1">
        <f t="array" ref="N460">_xlfn.IFS(I460="rob","Robusta",I460="exc","Excesla",I460="ara","Arabica",I460="lib","Liberica")</f>
        <v>Arabica</v>
      </c>
      <c r="O460" t="str" cm="1">
        <f t="array" ref="O460">_xlfn.IFS(J460="m","Medium",J460="l","Light",J460="d","Dark")</f>
        <v>Medium</v>
      </c>
      <c r="P460" t="str">
        <f>_xlfn.XLOOKUP(orders[[#This Row],[Customer ID]],customers!$A$2:$A$1001,customers!$I$2:$I$1001,,0)</f>
        <v>No</v>
      </c>
    </row>
    <row r="461" spans="1:16" x14ac:dyDescent="0.3">
      <c r="A461" s="2" t="s">
        <v>3082</v>
      </c>
      <c r="B461" s="6">
        <v>43840</v>
      </c>
      <c r="C461" s="2" t="s">
        <v>3083</v>
      </c>
      <c r="D461" t="s">
        <v>6145</v>
      </c>
      <c r="E461" s="2">
        <v>5</v>
      </c>
      <c r="F461" s="2" t="str">
        <f>_xlfn.XLOOKUP(C461,customers!$A$1:$A$1001,customers!$B$1:$B$1001,,0,1)</f>
        <v>Alvis Elwin</v>
      </c>
      <c r="G461" s="2" t="str">
        <f>IF((_xlfn.XLOOKUP(C461,customers!$A$2:$A$1001,customers!$C$2:$C$1001,,,)=0),"",(_xlfn.XLOOKUP(C461,customers!$A$2:$A$1001,customers!$C$2:$C$1001,,0,)))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7"/>
        <v>23.774999999999999</v>
      </c>
      <c r="N461" t="str" cm="1">
        <f t="array" ref="N461">_xlfn.IFS(I461="rob","Robusta",I461="exc","Excesla",I461="ara","Arabica",I461="lib","Liberica")</f>
        <v>Liberica</v>
      </c>
      <c r="O461" t="str" cm="1">
        <f t="array" ref="O461">_xlfn.IFS(J461="m","Medium",J461="l","Light",J461="d","Dark")</f>
        <v>Light</v>
      </c>
      <c r="P461" t="str">
        <f>_xlfn.XLOOKUP(orders[[#This Row],[Customer ID]],customers!$A$2:$A$1001,customers!$I$2:$I$1001,,0)</f>
        <v>No</v>
      </c>
    </row>
    <row r="462" spans="1:16" x14ac:dyDescent="0.3">
      <c r="A462" s="2" t="s">
        <v>3088</v>
      </c>
      <c r="B462" s="6">
        <v>43602</v>
      </c>
      <c r="C462" s="2" t="s">
        <v>3089</v>
      </c>
      <c r="D462" t="s">
        <v>6172</v>
      </c>
      <c r="E462" s="2">
        <v>3</v>
      </c>
      <c r="F462" s="2" t="str">
        <f>_xlfn.XLOOKUP(C462,customers!$A$1:$A$1001,customers!$B$1:$B$1001,,0,1)</f>
        <v>Araldo Bilbrook</v>
      </c>
      <c r="G462" s="2" t="str">
        <f>IF((_xlfn.XLOOKUP(C462,customers!$A$2:$A$1001,customers!$C$2:$C$1001,,,)=0),"",(_xlfn.XLOOKUP(C462,customers!$A$2:$A$1001,customers!$C$2:$C$1001,,0,)))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7"/>
        <v>16.11</v>
      </c>
      <c r="N462" t="str" cm="1">
        <f t="array" ref="N462">_xlfn.IFS(I462="rob","Robusta",I462="exc","Excesla",I462="ara","Arabica",I462="lib","Liberica")</f>
        <v>Robusta</v>
      </c>
      <c r="O462" t="str" cm="1">
        <f t="array" ref="O462">_xlfn.IFS(J462="m","Medium",J462="l","Light",J462="d","Dark")</f>
        <v>Dark</v>
      </c>
      <c r="P462" t="str">
        <f>_xlfn.XLOOKUP(orders[[#This Row],[Customer ID]],customers!$A$2:$A$1001,customers!$I$2:$I$1001,,0)</f>
        <v>Yes</v>
      </c>
    </row>
    <row r="463" spans="1:16" x14ac:dyDescent="0.3">
      <c r="A463" s="2" t="s">
        <v>3094</v>
      </c>
      <c r="B463" s="6">
        <v>44036</v>
      </c>
      <c r="C463" s="2" t="s">
        <v>3095</v>
      </c>
      <c r="D463" t="s">
        <v>6163</v>
      </c>
      <c r="E463" s="2">
        <v>4</v>
      </c>
      <c r="F463" s="2" t="str">
        <f>_xlfn.XLOOKUP(C463,customers!$A$1:$A$1001,customers!$B$1:$B$1001,,0,1)</f>
        <v>Ransell McKall</v>
      </c>
      <c r="G463" s="2" t="str">
        <f>IF((_xlfn.XLOOKUP(C463,customers!$A$2:$A$1001,customers!$C$2:$C$1001,,,)=0),"",(_xlfn.XLOOKUP(C463,customers!$A$2:$A$1001,customers!$C$2:$C$1001,,0,)))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7"/>
        <v>10.739999999999998</v>
      </c>
      <c r="N463" t="str" cm="1">
        <f t="array" ref="N463">_xlfn.IFS(I463="rob","Robusta",I463="exc","Excesla",I463="ara","Arabica",I463="lib","Liberica")</f>
        <v>Robusta</v>
      </c>
      <c r="O463" t="str" cm="1">
        <f t="array" ref="O463">_xlfn.IFS(J463="m","Medium",J463="l","Light",J463="d","Dark")</f>
        <v>Dark</v>
      </c>
      <c r="P463" t="str">
        <f>_xlfn.XLOOKUP(orders[[#This Row],[Customer ID]],customers!$A$2:$A$1001,customers!$I$2:$I$1001,,0)</f>
        <v>Yes</v>
      </c>
    </row>
    <row r="464" spans="1:16" x14ac:dyDescent="0.3">
      <c r="A464" s="2" t="s">
        <v>3100</v>
      </c>
      <c r="B464" s="6">
        <v>44124</v>
      </c>
      <c r="C464" s="2" t="s">
        <v>3101</v>
      </c>
      <c r="D464" t="s">
        <v>6147</v>
      </c>
      <c r="E464" s="2">
        <v>5</v>
      </c>
      <c r="F464" s="2" t="str">
        <f>_xlfn.XLOOKUP(C464,customers!$A$1:$A$1001,customers!$B$1:$B$1001,,0,1)</f>
        <v>Borg Daile</v>
      </c>
      <c r="G464" s="2" t="str">
        <f>IF((_xlfn.XLOOKUP(C464,customers!$A$2:$A$1001,customers!$C$2:$C$1001,,,)=0),"",(_xlfn.XLOOKUP(C464,customers!$A$2:$A$1001,customers!$C$2:$C$1001,,0,)))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7"/>
        <v>49.75</v>
      </c>
      <c r="N464" t="str" cm="1">
        <f t="array" ref="N464">_xlfn.IFS(I464="rob","Robusta",I464="exc","Excesla",I464="ara","Arabica",I464="lib","Liberica")</f>
        <v>Arabica</v>
      </c>
      <c r="O464" t="str" cm="1">
        <f t="array" ref="O464">_xlfn.IFS(J464="m","Medium",J464="l","Light",J464="d","Dark")</f>
        <v>Dark</v>
      </c>
      <c r="P464" t="str">
        <f>_xlfn.XLOOKUP(orders[[#This Row],[Customer ID]],customers!$A$2:$A$1001,customers!$I$2:$I$1001,,0)</f>
        <v>Yes</v>
      </c>
    </row>
    <row r="465" spans="1:16" x14ac:dyDescent="0.3">
      <c r="A465" s="2" t="s">
        <v>3106</v>
      </c>
      <c r="B465" s="6">
        <v>43730</v>
      </c>
      <c r="C465" s="2" t="s">
        <v>3107</v>
      </c>
      <c r="D465" t="s">
        <v>6141</v>
      </c>
      <c r="E465" s="2">
        <v>2</v>
      </c>
      <c r="F465" s="2" t="str">
        <f>_xlfn.XLOOKUP(C465,customers!$A$1:$A$1001,customers!$B$1:$B$1001,,0,1)</f>
        <v>Adolphe Treherne</v>
      </c>
      <c r="G465" s="2" t="str">
        <f>IF((_xlfn.XLOOKUP(C465,customers!$A$2:$A$1001,customers!$C$2:$C$1001,,,)=0),"",(_xlfn.XLOOKUP(C465,customers!$A$2:$A$1001,customers!$C$2:$C$1001,,0,)))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7"/>
        <v>27.5</v>
      </c>
      <c r="N465" t="str" cm="1">
        <f t="array" ref="N465">_xlfn.IFS(I465="rob","Robusta",I465="exc","Excesla",I465="ara","Arabica",I465="lib","Liberica")</f>
        <v>Excesla</v>
      </c>
      <c r="O465" t="str" cm="1">
        <f t="array" ref="O465">_xlfn.IFS(J465="m","Medium",J465="l","Light",J465="d","Dark")</f>
        <v>Medium</v>
      </c>
      <c r="P465" t="str">
        <f>_xlfn.XLOOKUP(orders[[#This Row],[Customer ID]],customers!$A$2:$A$1001,customers!$I$2:$I$1001,,0)</f>
        <v>No</v>
      </c>
    </row>
    <row r="466" spans="1:16" x14ac:dyDescent="0.3">
      <c r="A466" s="2" t="s">
        <v>3112</v>
      </c>
      <c r="B466" s="6">
        <v>43989</v>
      </c>
      <c r="C466" s="2" t="s">
        <v>3113</v>
      </c>
      <c r="D466" t="s">
        <v>6165</v>
      </c>
      <c r="E466" s="2">
        <v>4</v>
      </c>
      <c r="F466" s="2" t="str">
        <f>_xlfn.XLOOKUP(C466,customers!$A$1:$A$1001,customers!$B$1:$B$1001,,0,1)</f>
        <v>Annetta Brentnall</v>
      </c>
      <c r="G466" s="2" t="str">
        <f>IF((_xlfn.XLOOKUP(C466,customers!$A$2:$A$1001,customers!$C$2:$C$1001,,,)=0),"",(_xlfn.XLOOKUP(C466,customers!$A$2:$A$1001,customers!$C$2:$C$1001,,0,)))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7"/>
        <v>119.13999999999999</v>
      </c>
      <c r="N466" t="str" cm="1">
        <f t="array" ref="N466">_xlfn.IFS(I466="rob","Robusta",I466="exc","Excesla",I466="ara","Arabica",I466="lib","Liberica")</f>
        <v>Liberica</v>
      </c>
      <c r="O466" t="str" cm="1">
        <f t="array" ref="O466">_xlfn.IFS(J466="m","Medium",J466="l","Light",J466="d","Dark")</f>
        <v>Dark</v>
      </c>
      <c r="P466" t="str">
        <f>_xlfn.XLOOKUP(orders[[#This Row],[Customer ID]],customers!$A$2:$A$1001,customers!$I$2:$I$1001,,0)</f>
        <v>No</v>
      </c>
    </row>
    <row r="467" spans="1:16" x14ac:dyDescent="0.3">
      <c r="A467" s="2" t="s">
        <v>3118</v>
      </c>
      <c r="B467" s="6">
        <v>43814</v>
      </c>
      <c r="C467" s="2" t="s">
        <v>3119</v>
      </c>
      <c r="D467" t="s">
        <v>6149</v>
      </c>
      <c r="E467" s="2">
        <v>1</v>
      </c>
      <c r="F467" s="2" t="str">
        <f>_xlfn.XLOOKUP(C467,customers!$A$1:$A$1001,customers!$B$1:$B$1001,,0,1)</f>
        <v>Dick Drinkall</v>
      </c>
      <c r="G467" s="2" t="str">
        <f>IF((_xlfn.XLOOKUP(C467,customers!$A$2:$A$1001,customers!$C$2:$C$1001,,,)=0),"",(_xlfn.XLOOKUP(C467,customers!$A$2:$A$1001,customers!$C$2:$C$1001,,0,)))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7"/>
        <v>20.584999999999997</v>
      </c>
      <c r="N467" t="str" cm="1">
        <f t="array" ref="N467">_xlfn.IFS(I467="rob","Robusta",I467="exc","Excesla",I467="ara","Arabica",I467="lib","Liberica")</f>
        <v>Robusta</v>
      </c>
      <c r="O467" t="str" cm="1">
        <f t="array" ref="O467">_xlfn.IFS(J467="m","Medium",J467="l","Light",J467="d","Dark")</f>
        <v>Dark</v>
      </c>
      <c r="P467" t="str">
        <f>_xlfn.XLOOKUP(orders[[#This Row],[Customer ID]],customers!$A$2:$A$1001,customers!$I$2:$I$1001,,0)</f>
        <v>Yes</v>
      </c>
    </row>
    <row r="468" spans="1:16" x14ac:dyDescent="0.3">
      <c r="A468" s="2" t="s">
        <v>3124</v>
      </c>
      <c r="B468" s="6">
        <v>44171</v>
      </c>
      <c r="C468" s="2" t="s">
        <v>3125</v>
      </c>
      <c r="D468" t="s">
        <v>6154</v>
      </c>
      <c r="E468" s="2">
        <v>3</v>
      </c>
      <c r="F468" s="2" t="str">
        <f>_xlfn.XLOOKUP(C468,customers!$A$1:$A$1001,customers!$B$1:$B$1001,,0,1)</f>
        <v>Dagny Kornel</v>
      </c>
      <c r="G468" s="2" t="str">
        <f>IF((_xlfn.XLOOKUP(C468,customers!$A$2:$A$1001,customers!$C$2:$C$1001,,,)=0),"",(_xlfn.XLOOKUP(C468,customers!$A$2:$A$1001,customers!$C$2:$C$1001,,0,)))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7"/>
        <v>8.9550000000000001</v>
      </c>
      <c r="N468" t="str" cm="1">
        <f t="array" ref="N468">_xlfn.IFS(I468="rob","Robusta",I468="exc","Excesla",I468="ara","Arabica",I468="lib","Liberica")</f>
        <v>Arabica</v>
      </c>
      <c r="O468" t="str" cm="1">
        <f t="array" ref="O468">_xlfn.IFS(J468="m","Medium",J468="l","Light",J468="d","Dark")</f>
        <v>Dark</v>
      </c>
      <c r="P468" t="str">
        <f>_xlfn.XLOOKUP(orders[[#This Row],[Customer ID]],customers!$A$2:$A$1001,customers!$I$2:$I$1001,,0)</f>
        <v>Yes</v>
      </c>
    </row>
    <row r="469" spans="1:16" x14ac:dyDescent="0.3">
      <c r="A469" s="2" t="s">
        <v>3130</v>
      </c>
      <c r="B469" s="6">
        <v>44536</v>
      </c>
      <c r="C469" s="2" t="s">
        <v>3131</v>
      </c>
      <c r="D469" t="s">
        <v>6158</v>
      </c>
      <c r="E469" s="2">
        <v>1</v>
      </c>
      <c r="F469" s="2" t="str">
        <f>_xlfn.XLOOKUP(C469,customers!$A$1:$A$1001,customers!$B$1:$B$1001,,0,1)</f>
        <v>Rhona Lequeux</v>
      </c>
      <c r="G469" s="2" t="str">
        <f>IF((_xlfn.XLOOKUP(C469,customers!$A$2:$A$1001,customers!$C$2:$C$1001,,,)=0),"",(_xlfn.XLOOKUP(C469,customers!$A$2:$A$1001,customers!$C$2:$C$1001,,0,)))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7"/>
        <v>5.97</v>
      </c>
      <c r="N469" t="str" cm="1">
        <f t="array" ref="N469">_xlfn.IFS(I469="rob","Robusta",I469="exc","Excesla",I469="ara","Arabica",I469="lib","Liberica")</f>
        <v>Arabica</v>
      </c>
      <c r="O469" t="str" cm="1">
        <f t="array" ref="O469">_xlfn.IFS(J469="m","Medium",J469="l","Light",J469="d","Dark")</f>
        <v>Dark</v>
      </c>
      <c r="P469" t="str">
        <f>_xlfn.XLOOKUP(orders[[#This Row],[Customer ID]],customers!$A$2:$A$1001,customers!$I$2:$I$1001,,0)</f>
        <v>No</v>
      </c>
    </row>
    <row r="470" spans="1:16" x14ac:dyDescent="0.3">
      <c r="A470" s="2" t="s">
        <v>3136</v>
      </c>
      <c r="B470" s="6">
        <v>44023</v>
      </c>
      <c r="C470" s="2" t="s">
        <v>3137</v>
      </c>
      <c r="D470" t="s">
        <v>6141</v>
      </c>
      <c r="E470" s="2">
        <v>3</v>
      </c>
      <c r="F470" s="2" t="str">
        <f>_xlfn.XLOOKUP(C470,customers!$A$1:$A$1001,customers!$B$1:$B$1001,,0,1)</f>
        <v>Julius Mccaull</v>
      </c>
      <c r="G470" s="2" t="str">
        <f>IF((_xlfn.XLOOKUP(C470,customers!$A$2:$A$1001,customers!$C$2:$C$1001,,,)=0),"",(_xlfn.XLOOKUP(C470,customers!$A$2:$A$1001,customers!$C$2:$C$1001,,0,)))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7"/>
        <v>41.25</v>
      </c>
      <c r="N470" t="str" cm="1">
        <f t="array" ref="N470">_xlfn.IFS(I470="rob","Robusta",I470="exc","Excesla",I470="ara","Arabica",I470="lib","Liberica")</f>
        <v>Excesla</v>
      </c>
      <c r="O470" t="str" cm="1">
        <f t="array" ref="O470">_xlfn.IFS(J470="m","Medium",J470="l","Light",J470="d","Dark")</f>
        <v>Medium</v>
      </c>
      <c r="P470" t="str">
        <f>_xlfn.XLOOKUP(orders[[#This Row],[Customer ID]],customers!$A$2:$A$1001,customers!$I$2:$I$1001,,0)</f>
        <v>Yes</v>
      </c>
    </row>
    <row r="471" spans="1:16" x14ac:dyDescent="0.3">
      <c r="A471" s="2" t="s">
        <v>3141</v>
      </c>
      <c r="B471" s="6">
        <v>44375</v>
      </c>
      <c r="C471" s="2" t="s">
        <v>3194</v>
      </c>
      <c r="D471" t="s">
        <v>6184</v>
      </c>
      <c r="E471" s="2">
        <v>5</v>
      </c>
      <c r="F471" s="2" t="str">
        <f>_xlfn.XLOOKUP(C471,customers!$A$1:$A$1001,customers!$B$1:$B$1001,,0,1)</f>
        <v>Ailey Brash</v>
      </c>
      <c r="G471" s="2" t="str">
        <f>IF((_xlfn.XLOOKUP(C471,customers!$A$2:$A$1001,customers!$C$2:$C$1001,,,)=0),"",(_xlfn.XLOOKUP(C471,customers!$A$2:$A$1001,customers!$C$2:$C$1001,,0,)))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7"/>
        <v>22.274999999999999</v>
      </c>
      <c r="N471" t="str" cm="1">
        <f t="array" ref="N471">_xlfn.IFS(I471="rob","Robusta",I471="exc","Excesla",I471="ara","Arabica",I471="lib","Liberica")</f>
        <v>Excesla</v>
      </c>
      <c r="O471" t="str" cm="1">
        <f t="array" ref="O471">_xlfn.IFS(J471="m","Medium",J471="l","Light",J471="d","Dark")</f>
        <v>Light</v>
      </c>
      <c r="P471" t="str">
        <f>_xlfn.XLOOKUP(orders[[#This Row],[Customer ID]],customers!$A$2:$A$1001,customers!$I$2:$I$1001,,0)</f>
        <v>Yes</v>
      </c>
    </row>
    <row r="472" spans="1:16" x14ac:dyDescent="0.3">
      <c r="A472" s="2" t="s">
        <v>3147</v>
      </c>
      <c r="B472" s="6">
        <v>44656</v>
      </c>
      <c r="C472" s="2" t="s">
        <v>3148</v>
      </c>
      <c r="D472" t="s">
        <v>6157</v>
      </c>
      <c r="E472" s="2">
        <v>1</v>
      </c>
      <c r="F472" s="2" t="str">
        <f>_xlfn.XLOOKUP(C472,customers!$A$1:$A$1001,customers!$B$1:$B$1001,,0,1)</f>
        <v>Alberto Hutchinson</v>
      </c>
      <c r="G472" s="2" t="str">
        <f>IF((_xlfn.XLOOKUP(C472,customers!$A$2:$A$1001,customers!$C$2:$C$1001,,,)=0),"",(_xlfn.XLOOKUP(C472,customers!$A$2:$A$1001,customers!$C$2:$C$1001,,0,)))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7"/>
        <v>6.75</v>
      </c>
      <c r="N472" t="str" cm="1">
        <f t="array" ref="N472">_xlfn.IFS(I472="rob","Robusta",I472="exc","Excesla",I472="ara","Arabica",I472="lib","Liberica")</f>
        <v>Arabica</v>
      </c>
      <c r="O472" t="str" cm="1">
        <f t="array" ref="O472">_xlfn.IFS(J472="m","Medium",J472="l","Light",J472="d","Dark")</f>
        <v>Medium</v>
      </c>
      <c r="P472" t="str">
        <f>_xlfn.XLOOKUP(orders[[#This Row],[Customer ID]],customers!$A$2:$A$1001,customers!$I$2:$I$1001,,0)</f>
        <v>Yes</v>
      </c>
    </row>
    <row r="473" spans="1:16" x14ac:dyDescent="0.3">
      <c r="A473" s="2" t="s">
        <v>3153</v>
      </c>
      <c r="B473" s="6">
        <v>44644</v>
      </c>
      <c r="C473" s="2" t="s">
        <v>3154</v>
      </c>
      <c r="D473" t="s">
        <v>6181</v>
      </c>
      <c r="E473" s="2">
        <v>4</v>
      </c>
      <c r="F473" s="2" t="str">
        <f>_xlfn.XLOOKUP(C473,customers!$A$1:$A$1001,customers!$B$1:$B$1001,,0,1)</f>
        <v>Lamond Gheeraert</v>
      </c>
      <c r="G473" s="2" t="str">
        <f>IF((_xlfn.XLOOKUP(C473,customers!$A$2:$A$1001,customers!$C$2:$C$1001,,,)=0),"",(_xlfn.XLOOKUP(C473,customers!$A$2:$A$1001,customers!$C$2:$C$1001,,0,)))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7"/>
        <v>133.85999999999999</v>
      </c>
      <c r="N473" t="str" cm="1">
        <f t="array" ref="N473">_xlfn.IFS(I473="rob","Robusta",I473="exc","Excesla",I473="ara","Arabica",I473="lib","Liberica")</f>
        <v>Liberica</v>
      </c>
      <c r="O473" t="str" cm="1">
        <f t="array" ref="O473">_xlfn.IFS(J473="m","Medium",J473="l","Light",J473="d","Dark")</f>
        <v>Medium</v>
      </c>
      <c r="P473" t="str">
        <f>_xlfn.XLOOKUP(orders[[#This Row],[Customer ID]],customers!$A$2:$A$1001,customers!$I$2:$I$1001,,0)</f>
        <v>Yes</v>
      </c>
    </row>
    <row r="474" spans="1:16" x14ac:dyDescent="0.3">
      <c r="A474" s="2" t="s">
        <v>3158</v>
      </c>
      <c r="B474" s="6">
        <v>43869</v>
      </c>
      <c r="C474" s="2" t="s">
        <v>3159</v>
      </c>
      <c r="D474" t="s">
        <v>6154</v>
      </c>
      <c r="E474" s="2">
        <v>2</v>
      </c>
      <c r="F474" s="2" t="str">
        <f>_xlfn.XLOOKUP(C474,customers!$A$1:$A$1001,customers!$B$1:$B$1001,,0,1)</f>
        <v>Roxine Drivers</v>
      </c>
      <c r="G474" s="2" t="str">
        <f>IF((_xlfn.XLOOKUP(C474,customers!$A$2:$A$1001,customers!$C$2:$C$1001,,,)=0),"",(_xlfn.XLOOKUP(C474,customers!$A$2:$A$1001,customers!$C$2:$C$1001,,0,)))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7"/>
        <v>5.97</v>
      </c>
      <c r="N474" t="str" cm="1">
        <f t="array" ref="N474">_xlfn.IFS(I474="rob","Robusta",I474="exc","Excesla",I474="ara","Arabica",I474="lib","Liberica")</f>
        <v>Arabica</v>
      </c>
      <c r="O474" t="str" cm="1">
        <f t="array" ref="O474">_xlfn.IFS(J474="m","Medium",J474="l","Light",J474="d","Dark")</f>
        <v>Dark</v>
      </c>
      <c r="P474" t="str">
        <f>_xlfn.XLOOKUP(orders[[#This Row],[Customer ID]],customers!$A$2:$A$1001,customers!$I$2:$I$1001,,0)</f>
        <v>No</v>
      </c>
    </row>
    <row r="475" spans="1:16" x14ac:dyDescent="0.3">
      <c r="A475" s="2" t="s">
        <v>3164</v>
      </c>
      <c r="B475" s="6">
        <v>44603</v>
      </c>
      <c r="C475" s="2" t="s">
        <v>3165</v>
      </c>
      <c r="D475" t="s">
        <v>6140</v>
      </c>
      <c r="E475" s="2">
        <v>2</v>
      </c>
      <c r="F475" s="2" t="str">
        <f>_xlfn.XLOOKUP(C475,customers!$A$1:$A$1001,customers!$B$1:$B$1001,,0,1)</f>
        <v>Heloise Zeal</v>
      </c>
      <c r="G475" s="2" t="str">
        <f>IF((_xlfn.XLOOKUP(C475,customers!$A$2:$A$1001,customers!$C$2:$C$1001,,,)=0),"",(_xlfn.XLOOKUP(C475,customers!$A$2:$A$1001,customers!$C$2:$C$1001,,0,)))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7"/>
        <v>25.9</v>
      </c>
      <c r="N475" t="str" cm="1">
        <f t="array" ref="N475">_xlfn.IFS(I475="rob","Robusta",I475="exc","Excesla",I475="ara","Arabica",I475="lib","Liberica")</f>
        <v>Arabica</v>
      </c>
      <c r="O475" t="str" cm="1">
        <f t="array" ref="O475">_xlfn.IFS(J475="m","Medium",J475="l","Light",J475="d","Dark")</f>
        <v>Light</v>
      </c>
      <c r="P475" t="str">
        <f>_xlfn.XLOOKUP(orders[[#This Row],[Customer ID]],customers!$A$2:$A$1001,customers!$I$2:$I$1001,,0)</f>
        <v>No</v>
      </c>
    </row>
    <row r="476" spans="1:16" x14ac:dyDescent="0.3">
      <c r="A476" s="2" t="s">
        <v>3170</v>
      </c>
      <c r="B476" s="6">
        <v>44014</v>
      </c>
      <c r="C476" s="2" t="s">
        <v>3171</v>
      </c>
      <c r="D476" t="s">
        <v>6166</v>
      </c>
      <c r="E476" s="2">
        <v>1</v>
      </c>
      <c r="F476" s="2" t="str">
        <f>_xlfn.XLOOKUP(C476,customers!$A$1:$A$1001,customers!$B$1:$B$1001,,0,1)</f>
        <v>Granger Smallcombe</v>
      </c>
      <c r="G476" s="2" t="str">
        <f>IF((_xlfn.XLOOKUP(C476,customers!$A$2:$A$1001,customers!$C$2:$C$1001,,,)=0),"",(_xlfn.XLOOKUP(C476,customers!$A$2:$A$1001,customers!$C$2:$C$1001,,0,)))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7"/>
        <v>31.624999999999996</v>
      </c>
      <c r="N476" t="str" cm="1">
        <f t="array" ref="N476">_xlfn.IFS(I476="rob","Robusta",I476="exc","Excesla",I476="ara","Arabica",I476="lib","Liberica")</f>
        <v>Excesla</v>
      </c>
      <c r="O476" t="str" cm="1">
        <f t="array" ref="O476">_xlfn.IFS(J476="m","Medium",J476="l","Light",J476="d","Dark")</f>
        <v>Medium</v>
      </c>
      <c r="P476" t="str">
        <f>_xlfn.XLOOKUP(orders[[#This Row],[Customer ID]],customers!$A$2:$A$1001,customers!$I$2:$I$1001,,0)</f>
        <v>Yes</v>
      </c>
    </row>
    <row r="477" spans="1:16" x14ac:dyDescent="0.3">
      <c r="A477" s="2" t="s">
        <v>3176</v>
      </c>
      <c r="B477" s="6">
        <v>44767</v>
      </c>
      <c r="C477" s="2" t="s">
        <v>3177</v>
      </c>
      <c r="D477" t="s">
        <v>6159</v>
      </c>
      <c r="E477" s="2">
        <v>2</v>
      </c>
      <c r="F477" s="2" t="str">
        <f>_xlfn.XLOOKUP(C477,customers!$A$1:$A$1001,customers!$B$1:$B$1001,,0,1)</f>
        <v>Daryn Dibley</v>
      </c>
      <c r="G477" s="2" t="str">
        <f>IF((_xlfn.XLOOKUP(C477,customers!$A$2:$A$1001,customers!$C$2:$C$1001,,,)=0),"",(_xlfn.XLOOKUP(C477,customers!$A$2:$A$1001,customers!$C$2:$C$1001,,0,)))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7"/>
        <v>8.73</v>
      </c>
      <c r="N477" t="str" cm="1">
        <f t="array" ref="N477">_xlfn.IFS(I477="rob","Robusta",I477="exc","Excesla",I477="ara","Arabica",I477="lib","Liberica")</f>
        <v>Liberica</v>
      </c>
      <c r="O477" t="str" cm="1">
        <f t="array" ref="O477">_xlfn.IFS(J477="m","Medium",J477="l","Light",J477="d","Dark")</f>
        <v>Medium</v>
      </c>
      <c r="P477" t="str">
        <f>_xlfn.XLOOKUP(orders[[#This Row],[Customer ID]],customers!$A$2:$A$1001,customers!$I$2:$I$1001,,0)</f>
        <v>No</v>
      </c>
    </row>
    <row r="478" spans="1:16" x14ac:dyDescent="0.3">
      <c r="A478" s="2" t="s">
        <v>3181</v>
      </c>
      <c r="B478" s="6">
        <v>44274</v>
      </c>
      <c r="C478" s="2" t="s">
        <v>3182</v>
      </c>
      <c r="D478" t="s">
        <v>6184</v>
      </c>
      <c r="E478" s="2">
        <v>6</v>
      </c>
      <c r="F478" s="2" t="str">
        <f>_xlfn.XLOOKUP(C478,customers!$A$1:$A$1001,customers!$B$1:$B$1001,,0,1)</f>
        <v>Gardy Dimitriou</v>
      </c>
      <c r="G478" s="2" t="str">
        <f>IF((_xlfn.XLOOKUP(C478,customers!$A$2:$A$1001,customers!$C$2:$C$1001,,,)=0),"",(_xlfn.XLOOKUP(C478,customers!$A$2:$A$1001,customers!$C$2:$C$1001,,0,)))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7"/>
        <v>26.73</v>
      </c>
      <c r="N478" t="str" cm="1">
        <f t="array" ref="N478">_xlfn.IFS(I478="rob","Robusta",I478="exc","Excesla",I478="ara","Arabica",I478="lib","Liberica")</f>
        <v>Excesla</v>
      </c>
      <c r="O478" t="str" cm="1">
        <f t="array" ref="O478">_xlfn.IFS(J478="m","Medium",J478="l","Light",J478="d","Dark")</f>
        <v>Light</v>
      </c>
      <c r="P478" t="str">
        <f>_xlfn.XLOOKUP(orders[[#This Row],[Customer ID]],customers!$A$2:$A$1001,customers!$I$2:$I$1001,,0)</f>
        <v>Yes</v>
      </c>
    </row>
    <row r="479" spans="1:16" x14ac:dyDescent="0.3">
      <c r="A479" s="2" t="s">
        <v>3187</v>
      </c>
      <c r="B479" s="6">
        <v>43962</v>
      </c>
      <c r="C479" s="2" t="s">
        <v>3188</v>
      </c>
      <c r="D479" t="s">
        <v>6159</v>
      </c>
      <c r="E479" s="2">
        <v>6</v>
      </c>
      <c r="F479" s="2" t="str">
        <f>_xlfn.XLOOKUP(C479,customers!$A$1:$A$1001,customers!$B$1:$B$1001,,0,1)</f>
        <v>Fanny Flanagan</v>
      </c>
      <c r="G479" s="2" t="str">
        <f>IF((_xlfn.XLOOKUP(C479,customers!$A$2:$A$1001,customers!$C$2:$C$1001,,,)=0),"",(_xlfn.XLOOKUP(C479,customers!$A$2:$A$1001,customers!$C$2:$C$1001,,0,)))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7"/>
        <v>26.19</v>
      </c>
      <c r="N479" t="str" cm="1">
        <f t="array" ref="N479">_xlfn.IFS(I479="rob","Robusta",I479="exc","Excesla",I479="ara","Arabica",I479="lib","Liberica")</f>
        <v>Liberica</v>
      </c>
      <c r="O479" t="str" cm="1">
        <f t="array" ref="O479">_xlfn.IFS(J479="m","Medium",J479="l","Light",J479="d","Dark")</f>
        <v>Medium</v>
      </c>
      <c r="P479" t="str">
        <f>_xlfn.XLOOKUP(orders[[#This Row],[Customer ID]],customers!$A$2:$A$1001,customers!$I$2:$I$1001,,0)</f>
        <v>No</v>
      </c>
    </row>
    <row r="480" spans="1:16" x14ac:dyDescent="0.3">
      <c r="A480" s="2" t="s">
        <v>3193</v>
      </c>
      <c r="B480" s="6">
        <v>43624</v>
      </c>
      <c r="C480" s="2" t="s">
        <v>3194</v>
      </c>
      <c r="D480" t="s">
        <v>6177</v>
      </c>
      <c r="E480" s="2">
        <v>6</v>
      </c>
      <c r="F480" s="2" t="str">
        <f>_xlfn.XLOOKUP(C480,customers!$A$1:$A$1001,customers!$B$1:$B$1001,,0,1)</f>
        <v>Ailey Brash</v>
      </c>
      <c r="G480" s="2" t="str">
        <f>IF((_xlfn.XLOOKUP(C480,customers!$A$2:$A$1001,customers!$C$2:$C$1001,,,)=0),"",(_xlfn.XLOOKUP(C480,customers!$A$2:$A$1001,customers!$C$2:$C$1001,,0,)))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7"/>
        <v>53.699999999999996</v>
      </c>
      <c r="N480" t="str" cm="1">
        <f t="array" ref="N480">_xlfn.IFS(I480="rob","Robusta",I480="exc","Excesla",I480="ara","Arabica",I480="lib","Liberica")</f>
        <v>Robusta</v>
      </c>
      <c r="O480" t="str" cm="1">
        <f t="array" ref="O480">_xlfn.IFS(J480="m","Medium",J480="l","Light",J480="d","Dark")</f>
        <v>Dark</v>
      </c>
      <c r="P480" t="str">
        <f>_xlfn.XLOOKUP(orders[[#This Row],[Customer ID]],customers!$A$2:$A$1001,customers!$I$2:$I$1001,,0)</f>
        <v>Yes</v>
      </c>
    </row>
    <row r="481" spans="1:16" x14ac:dyDescent="0.3">
      <c r="A481" s="2" t="s">
        <v>3193</v>
      </c>
      <c r="B481" s="6">
        <v>43624</v>
      </c>
      <c r="C481" s="2" t="s">
        <v>3194</v>
      </c>
      <c r="D481" t="s">
        <v>6166</v>
      </c>
      <c r="E481" s="2">
        <v>4</v>
      </c>
      <c r="F481" s="2" t="str">
        <f>_xlfn.XLOOKUP(C481,customers!$A$1:$A$1001,customers!$B$1:$B$1001,,0,1)</f>
        <v>Ailey Brash</v>
      </c>
      <c r="G481" s="2" t="str">
        <f>IF((_xlfn.XLOOKUP(C481,customers!$A$2:$A$1001,customers!$C$2:$C$1001,,,)=0),"",(_xlfn.XLOOKUP(C481,customers!$A$2:$A$1001,customers!$C$2:$C$1001,,0,)))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7"/>
        <v>126.49999999999999</v>
      </c>
      <c r="N481" t="str" cm="1">
        <f t="array" ref="N481">_xlfn.IFS(I481="rob","Robusta",I481="exc","Excesla",I481="ara","Arabica",I481="lib","Liberica")</f>
        <v>Excesla</v>
      </c>
      <c r="O481" t="str" cm="1">
        <f t="array" ref="O481">_xlfn.IFS(J481="m","Medium",J481="l","Light",J481="d","Dark")</f>
        <v>Medium</v>
      </c>
      <c r="P481" t="str">
        <f>_xlfn.XLOOKUP(orders[[#This Row],[Customer ID]],customers!$A$2:$A$1001,customers!$I$2:$I$1001,,0)</f>
        <v>Yes</v>
      </c>
    </row>
    <row r="482" spans="1:16" x14ac:dyDescent="0.3">
      <c r="A482" s="2" t="s">
        <v>3193</v>
      </c>
      <c r="B482" s="6">
        <v>43624</v>
      </c>
      <c r="C482" s="2" t="s">
        <v>3194</v>
      </c>
      <c r="D482" t="s">
        <v>6156</v>
      </c>
      <c r="E482" s="2">
        <v>1</v>
      </c>
      <c r="F482" s="2" t="str">
        <f>_xlfn.XLOOKUP(C482,customers!$A$1:$A$1001,customers!$B$1:$B$1001,,0,1)</f>
        <v>Ailey Brash</v>
      </c>
      <c r="G482" s="2" t="str">
        <f>IF((_xlfn.XLOOKUP(C482,customers!$A$2:$A$1001,customers!$C$2:$C$1001,,,)=0),"",(_xlfn.XLOOKUP(C482,customers!$A$2:$A$1001,customers!$C$2:$C$1001,,0,)))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7"/>
        <v>4.125</v>
      </c>
      <c r="N482" t="str" cm="1">
        <f t="array" ref="N482">_xlfn.IFS(I482="rob","Robusta",I482="exc","Excesla",I482="ara","Arabica",I482="lib","Liberica")</f>
        <v>Excesla</v>
      </c>
      <c r="O482" t="str" cm="1">
        <f t="array" ref="O482">_xlfn.IFS(J482="m","Medium",J482="l","Light",J482="d","Dark")</f>
        <v>Medium</v>
      </c>
      <c r="P482" t="str">
        <f>_xlfn.XLOOKUP(orders[[#This Row],[Customer ID]],customers!$A$2:$A$1001,customers!$I$2:$I$1001,,0)</f>
        <v>Yes</v>
      </c>
    </row>
    <row r="483" spans="1:16" x14ac:dyDescent="0.3">
      <c r="A483" s="2" t="s">
        <v>3208</v>
      </c>
      <c r="B483" s="6">
        <v>43747</v>
      </c>
      <c r="C483" s="2" t="s">
        <v>3209</v>
      </c>
      <c r="D483" t="s">
        <v>6179</v>
      </c>
      <c r="E483" s="2">
        <v>2</v>
      </c>
      <c r="F483" s="2" t="str">
        <f>_xlfn.XLOOKUP(C483,customers!$A$1:$A$1001,customers!$B$1:$B$1001,,0,1)</f>
        <v>Nanny Izhakov</v>
      </c>
      <c r="G483" s="2" t="str">
        <f>IF((_xlfn.XLOOKUP(C483,customers!$A$2:$A$1001,customers!$C$2:$C$1001,,,)=0),"",(_xlfn.XLOOKUP(C483,customers!$A$2:$A$1001,customers!$C$2:$C$1001,,0,)))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7"/>
        <v>23.9</v>
      </c>
      <c r="N483" t="str" cm="1">
        <f t="array" ref="N483">_xlfn.IFS(I483="rob","Robusta",I483="exc","Excesla",I483="ara","Arabica",I483="lib","Liberica")</f>
        <v>Robusta</v>
      </c>
      <c r="O483" t="str" cm="1">
        <f t="array" ref="O483">_xlfn.IFS(J483="m","Medium",J483="l","Light",J483="d","Dark")</f>
        <v>Light</v>
      </c>
      <c r="P483" t="str">
        <f>_xlfn.XLOOKUP(orders[[#This Row],[Customer ID]],customers!$A$2:$A$1001,customers!$I$2:$I$1001,,0)</f>
        <v>No</v>
      </c>
    </row>
    <row r="484" spans="1:16" x14ac:dyDescent="0.3">
      <c r="A484" s="2" t="s">
        <v>3214</v>
      </c>
      <c r="B484" s="6">
        <v>44247</v>
      </c>
      <c r="C484" s="2" t="s">
        <v>3215</v>
      </c>
      <c r="D484" t="s">
        <v>6185</v>
      </c>
      <c r="E484" s="2">
        <v>5</v>
      </c>
      <c r="F484" s="2" t="str">
        <f>_xlfn.XLOOKUP(C484,customers!$A$1:$A$1001,customers!$B$1:$B$1001,,0,1)</f>
        <v>Stanly Keets</v>
      </c>
      <c r="G484" s="2" t="str">
        <f>IF((_xlfn.XLOOKUP(C484,customers!$A$2:$A$1001,customers!$C$2:$C$1001,,,)=0),"",(_xlfn.XLOOKUP(C484,customers!$A$2:$A$1001,customers!$C$2:$C$1001,,0,)))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7"/>
        <v>139.72499999999999</v>
      </c>
      <c r="N484" t="str" cm="1">
        <f t="array" ref="N484">_xlfn.IFS(I484="rob","Robusta",I484="exc","Excesla",I484="ara","Arabica",I484="lib","Liberica")</f>
        <v>Excesla</v>
      </c>
      <c r="O484" t="str" cm="1">
        <f t="array" ref="O484">_xlfn.IFS(J484="m","Medium",J484="l","Light",J484="d","Dark")</f>
        <v>Dark</v>
      </c>
      <c r="P484" t="str">
        <f>_xlfn.XLOOKUP(orders[[#This Row],[Customer ID]],customers!$A$2:$A$1001,customers!$I$2:$I$1001,,0)</f>
        <v>Yes</v>
      </c>
    </row>
    <row r="485" spans="1:16" x14ac:dyDescent="0.3">
      <c r="A485" s="2" t="s">
        <v>3220</v>
      </c>
      <c r="B485" s="6">
        <v>43790</v>
      </c>
      <c r="C485" s="2" t="s">
        <v>3221</v>
      </c>
      <c r="D485" t="s">
        <v>6165</v>
      </c>
      <c r="E485" s="2">
        <v>2</v>
      </c>
      <c r="F485" s="2" t="str">
        <f>_xlfn.XLOOKUP(C485,customers!$A$1:$A$1001,customers!$B$1:$B$1001,,0,1)</f>
        <v>Orion Dyott</v>
      </c>
      <c r="G485" s="2" t="str">
        <f>IF((_xlfn.XLOOKUP(C485,customers!$A$2:$A$1001,customers!$C$2:$C$1001,,,)=0),"",(_xlfn.XLOOKUP(C485,customers!$A$2:$A$1001,customers!$C$2:$C$1001,,0,)))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7"/>
        <v>59.569999999999993</v>
      </c>
      <c r="N485" t="str" cm="1">
        <f t="array" ref="N485">_xlfn.IFS(I485="rob","Robusta",I485="exc","Excesla",I485="ara","Arabica",I485="lib","Liberica")</f>
        <v>Liberica</v>
      </c>
      <c r="O485" t="str" cm="1">
        <f t="array" ref="O485">_xlfn.IFS(J485="m","Medium",J485="l","Light",J485="d","Dark")</f>
        <v>Dark</v>
      </c>
      <c r="P485" t="str">
        <f>_xlfn.XLOOKUP(orders[[#This Row],[Customer ID]],customers!$A$2:$A$1001,customers!$I$2:$I$1001,,0)</f>
        <v>Yes</v>
      </c>
    </row>
    <row r="486" spans="1:16" x14ac:dyDescent="0.3">
      <c r="A486" s="2" t="s">
        <v>3225</v>
      </c>
      <c r="B486" s="6">
        <v>44479</v>
      </c>
      <c r="C486" s="2" t="s">
        <v>3226</v>
      </c>
      <c r="D486" t="s">
        <v>6161</v>
      </c>
      <c r="E486" s="2">
        <v>6</v>
      </c>
      <c r="F486" s="2" t="str">
        <f>_xlfn.XLOOKUP(C486,customers!$A$1:$A$1001,customers!$B$1:$B$1001,,0,1)</f>
        <v>Keefer Cake</v>
      </c>
      <c r="G486" s="2" t="str">
        <f>IF((_xlfn.XLOOKUP(C486,customers!$A$2:$A$1001,customers!$C$2:$C$1001,,,)=0),"",(_xlfn.XLOOKUP(C486,customers!$A$2:$A$1001,customers!$C$2:$C$1001,,0,)))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7"/>
        <v>57.06</v>
      </c>
      <c r="N486" t="str" cm="1">
        <f t="array" ref="N486">_xlfn.IFS(I486="rob","Robusta",I486="exc","Excesla",I486="ara","Arabica",I486="lib","Liberica")</f>
        <v>Liberica</v>
      </c>
      <c r="O486" t="str" cm="1">
        <f t="array" ref="O486">_xlfn.IFS(J486="m","Medium",J486="l","Light",J486="d","Dark")</f>
        <v>Light</v>
      </c>
      <c r="P486" t="str">
        <f>_xlfn.XLOOKUP(orders[[#This Row],[Customer ID]],customers!$A$2:$A$1001,customers!$I$2:$I$1001,,0)</f>
        <v>No</v>
      </c>
    </row>
    <row r="487" spans="1:16" x14ac:dyDescent="0.3">
      <c r="A487" s="2" t="s">
        <v>3230</v>
      </c>
      <c r="B487" s="6">
        <v>44413</v>
      </c>
      <c r="C487" s="2" t="s">
        <v>3231</v>
      </c>
      <c r="D487" t="s">
        <v>6178</v>
      </c>
      <c r="E487" s="2">
        <v>6</v>
      </c>
      <c r="F487" s="2" t="str">
        <f>_xlfn.XLOOKUP(C487,customers!$A$1:$A$1001,customers!$B$1:$B$1001,,0,1)</f>
        <v>Morna Hansed</v>
      </c>
      <c r="G487" s="2" t="str">
        <f>IF((_xlfn.XLOOKUP(C487,customers!$A$2:$A$1001,customers!$C$2:$C$1001,,,)=0),"",(_xlfn.XLOOKUP(C487,customers!$A$2:$A$1001,customers!$C$2:$C$1001,,0,)))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7"/>
        <v>21.509999999999998</v>
      </c>
      <c r="N487" t="str" cm="1">
        <f t="array" ref="N487">_xlfn.IFS(I487="rob","Robusta",I487="exc","Excesla",I487="ara","Arabica",I487="lib","Liberica")</f>
        <v>Robusta</v>
      </c>
      <c r="O487" t="str" cm="1">
        <f t="array" ref="O487">_xlfn.IFS(J487="m","Medium",J487="l","Light",J487="d","Dark")</f>
        <v>Light</v>
      </c>
      <c r="P487" t="str">
        <f>_xlfn.XLOOKUP(orders[[#This Row],[Customer ID]],customers!$A$2:$A$1001,customers!$I$2:$I$1001,,0)</f>
        <v>Yes</v>
      </c>
    </row>
    <row r="488" spans="1:16" x14ac:dyDescent="0.3">
      <c r="A488" s="2" t="s">
        <v>3236</v>
      </c>
      <c r="B488" s="6">
        <v>44043</v>
      </c>
      <c r="C488" s="2" t="s">
        <v>3237</v>
      </c>
      <c r="D488" t="s">
        <v>6160</v>
      </c>
      <c r="E488" s="2">
        <v>6</v>
      </c>
      <c r="F488" s="2" t="str">
        <f>_xlfn.XLOOKUP(C488,customers!$A$1:$A$1001,customers!$B$1:$B$1001,,0,1)</f>
        <v>Franny Kienlein</v>
      </c>
      <c r="G488" s="2" t="str">
        <f>IF((_xlfn.XLOOKUP(C488,customers!$A$2:$A$1001,customers!$C$2:$C$1001,,,)=0),"",(_xlfn.XLOOKUP(C488,customers!$A$2:$A$1001,customers!$C$2:$C$1001,,0,)))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7"/>
        <v>52.38</v>
      </c>
      <c r="N488" t="str" cm="1">
        <f t="array" ref="N488">_xlfn.IFS(I488="rob","Robusta",I488="exc","Excesla",I488="ara","Arabica",I488="lib","Liberica")</f>
        <v>Liberica</v>
      </c>
      <c r="O488" t="str" cm="1">
        <f t="array" ref="O488">_xlfn.IFS(J488="m","Medium",J488="l","Light",J488="d","Dark")</f>
        <v>Medium</v>
      </c>
      <c r="P488" t="str">
        <f>_xlfn.XLOOKUP(orders[[#This Row],[Customer ID]],customers!$A$2:$A$1001,customers!$I$2:$I$1001,,0)</f>
        <v>Yes</v>
      </c>
    </row>
    <row r="489" spans="1:16" x14ac:dyDescent="0.3">
      <c r="A489" s="2" t="s">
        <v>3242</v>
      </c>
      <c r="B489" s="6">
        <v>44093</v>
      </c>
      <c r="C489" s="2" t="s">
        <v>3243</v>
      </c>
      <c r="D489" t="s">
        <v>6183</v>
      </c>
      <c r="E489" s="2">
        <v>6</v>
      </c>
      <c r="F489" s="2" t="str">
        <f>_xlfn.XLOOKUP(C489,customers!$A$1:$A$1001,customers!$B$1:$B$1001,,0,1)</f>
        <v>Klarika Egglestone</v>
      </c>
      <c r="G489" s="2" t="str">
        <f>IF((_xlfn.XLOOKUP(C489,customers!$A$2:$A$1001,customers!$C$2:$C$1001,,,)=0),"",(_xlfn.XLOOKUP(C489,customers!$A$2:$A$1001,customers!$C$2:$C$1001,,0,)))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7"/>
        <v>72.900000000000006</v>
      </c>
      <c r="N489" t="str" cm="1">
        <f t="array" ref="N489">_xlfn.IFS(I489="rob","Robusta",I489="exc","Excesla",I489="ara","Arabica",I489="lib","Liberica")</f>
        <v>Excesla</v>
      </c>
      <c r="O489" t="str" cm="1">
        <f t="array" ref="O489">_xlfn.IFS(J489="m","Medium",J489="l","Light",J489="d","Dark")</f>
        <v>Dark</v>
      </c>
      <c r="P489" t="str">
        <f>_xlfn.XLOOKUP(orders[[#This Row],[Customer ID]],customers!$A$2:$A$1001,customers!$I$2:$I$1001,,0)</f>
        <v>No</v>
      </c>
    </row>
    <row r="490" spans="1:16" x14ac:dyDescent="0.3">
      <c r="A490" s="2" t="s">
        <v>3248</v>
      </c>
      <c r="B490" s="6">
        <v>43954</v>
      </c>
      <c r="C490" s="2" t="s">
        <v>3249</v>
      </c>
      <c r="D490" t="s">
        <v>6174</v>
      </c>
      <c r="E490" s="2">
        <v>5</v>
      </c>
      <c r="F490" s="2" t="str">
        <f>_xlfn.XLOOKUP(C490,customers!$A$1:$A$1001,customers!$B$1:$B$1001,,0,1)</f>
        <v>Becky Semkins</v>
      </c>
      <c r="G490" s="2" t="str">
        <f>IF((_xlfn.XLOOKUP(C490,customers!$A$2:$A$1001,customers!$C$2:$C$1001,,,)=0),"",(_xlfn.XLOOKUP(C490,customers!$A$2:$A$1001,customers!$C$2:$C$1001,,0,)))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7"/>
        <v>14.924999999999999</v>
      </c>
      <c r="N490" t="str" cm="1">
        <f t="array" ref="N490">_xlfn.IFS(I490="rob","Robusta",I490="exc","Excesla",I490="ara","Arabica",I490="lib","Liberica")</f>
        <v>Robusta</v>
      </c>
      <c r="O490" t="str" cm="1">
        <f t="array" ref="O490">_xlfn.IFS(J490="m","Medium",J490="l","Light",J490="d","Dark")</f>
        <v>Medium</v>
      </c>
      <c r="P490" t="str">
        <f>_xlfn.XLOOKUP(orders[[#This Row],[Customer ID]],customers!$A$2:$A$1001,customers!$I$2:$I$1001,,0)</f>
        <v>Yes</v>
      </c>
    </row>
    <row r="491" spans="1:16" x14ac:dyDescent="0.3">
      <c r="A491" s="2" t="s">
        <v>3254</v>
      </c>
      <c r="B491" s="6">
        <v>43654</v>
      </c>
      <c r="C491" s="2" t="s">
        <v>3255</v>
      </c>
      <c r="D491" t="s">
        <v>6170</v>
      </c>
      <c r="E491" s="2">
        <v>6</v>
      </c>
      <c r="F491" s="2" t="str">
        <f>_xlfn.XLOOKUP(C491,customers!$A$1:$A$1001,customers!$B$1:$B$1001,,0,1)</f>
        <v>Sean Lorenzetti</v>
      </c>
      <c r="G491" s="2" t="str">
        <f>IF((_xlfn.XLOOKUP(C491,customers!$A$2:$A$1001,customers!$C$2:$C$1001,,,)=0),"",(_xlfn.XLOOKUP(C491,customers!$A$2:$A$1001,customers!$C$2:$C$1001,,0,)))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7"/>
        <v>95.1</v>
      </c>
      <c r="N491" t="str" cm="1">
        <f t="array" ref="N491">_xlfn.IFS(I491="rob","Robusta",I491="exc","Excesla",I491="ara","Arabica",I491="lib","Liberica")</f>
        <v>Liberica</v>
      </c>
      <c r="O491" t="str" cm="1">
        <f t="array" ref="O491">_xlfn.IFS(J491="m","Medium",J491="l","Light",J491="d","Dark")</f>
        <v>Light</v>
      </c>
      <c r="P491" t="str">
        <f>_xlfn.XLOOKUP(orders[[#This Row],[Customer ID]],customers!$A$2:$A$1001,customers!$I$2:$I$1001,,0)</f>
        <v>No</v>
      </c>
    </row>
    <row r="492" spans="1:16" x14ac:dyDescent="0.3">
      <c r="A492" s="2" t="s">
        <v>3260</v>
      </c>
      <c r="B492" s="6">
        <v>43764</v>
      </c>
      <c r="C492" s="2" t="s">
        <v>3261</v>
      </c>
      <c r="D492" t="s">
        <v>6169</v>
      </c>
      <c r="E492" s="2">
        <v>2</v>
      </c>
      <c r="F492" s="2" t="str">
        <f>_xlfn.XLOOKUP(C492,customers!$A$1:$A$1001,customers!$B$1:$B$1001,,0,1)</f>
        <v>Bob Giannazzi</v>
      </c>
      <c r="G492" s="2" t="str">
        <f>IF((_xlfn.XLOOKUP(C492,customers!$A$2:$A$1001,customers!$C$2:$C$1001,,,)=0),"",(_xlfn.XLOOKUP(C492,customers!$A$2:$A$1001,customers!$C$2:$C$1001,,0,)))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7"/>
        <v>15.54</v>
      </c>
      <c r="N492" t="str" cm="1">
        <f t="array" ref="N492">_xlfn.IFS(I492="rob","Robusta",I492="exc","Excesla",I492="ara","Arabica",I492="lib","Liberica")</f>
        <v>Liberica</v>
      </c>
      <c r="O492" t="str" cm="1">
        <f t="array" ref="O492">_xlfn.IFS(J492="m","Medium",J492="l","Light",J492="d","Dark")</f>
        <v>Dark</v>
      </c>
      <c r="P492" t="str">
        <f>_xlfn.XLOOKUP(orders[[#This Row],[Customer ID]],customers!$A$2:$A$1001,customers!$I$2:$I$1001,,0)</f>
        <v>No</v>
      </c>
    </row>
    <row r="493" spans="1:16" x14ac:dyDescent="0.3">
      <c r="A493" s="2" t="s">
        <v>3266</v>
      </c>
      <c r="B493" s="6">
        <v>44101</v>
      </c>
      <c r="C493" s="2" t="s">
        <v>3267</v>
      </c>
      <c r="D493" t="s">
        <v>6150</v>
      </c>
      <c r="E493" s="2">
        <v>6</v>
      </c>
      <c r="F493" s="2" t="str">
        <f>_xlfn.XLOOKUP(C493,customers!$A$1:$A$1001,customers!$B$1:$B$1001,,0,1)</f>
        <v>Kendra Backshell</v>
      </c>
      <c r="G493" s="2" t="str">
        <f>IF((_xlfn.XLOOKUP(C493,customers!$A$2:$A$1001,customers!$C$2:$C$1001,,,)=0),"",(_xlfn.XLOOKUP(C493,customers!$A$2:$A$1001,customers!$C$2:$C$1001,,0,)))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7"/>
        <v>23.31</v>
      </c>
      <c r="N493" t="str" cm="1">
        <f t="array" ref="N493">_xlfn.IFS(I493="rob","Robusta",I493="exc","Excesla",I493="ara","Arabica",I493="lib","Liberica")</f>
        <v>Liberica</v>
      </c>
      <c r="O493" t="str" cm="1">
        <f t="array" ref="O493">_xlfn.IFS(J493="m","Medium",J493="l","Light",J493="d","Dark")</f>
        <v>Dark</v>
      </c>
      <c r="P493" t="str">
        <f>_xlfn.XLOOKUP(orders[[#This Row],[Customer ID]],customers!$A$2:$A$1001,customers!$I$2:$I$1001,,0)</f>
        <v>No</v>
      </c>
    </row>
    <row r="494" spans="1:16" x14ac:dyDescent="0.3">
      <c r="A494" s="2" t="s">
        <v>3271</v>
      </c>
      <c r="B494" s="6">
        <v>44620</v>
      </c>
      <c r="C494" s="2" t="s">
        <v>3272</v>
      </c>
      <c r="D494" t="s">
        <v>6156</v>
      </c>
      <c r="E494" s="2">
        <v>1</v>
      </c>
      <c r="F494" s="2" t="str">
        <f>_xlfn.XLOOKUP(C494,customers!$A$1:$A$1001,customers!$B$1:$B$1001,,0,1)</f>
        <v>Uriah Lethbrig</v>
      </c>
      <c r="G494" s="2" t="str">
        <f>IF((_xlfn.XLOOKUP(C494,customers!$A$2:$A$1001,customers!$C$2:$C$1001,,,)=0),"",(_xlfn.XLOOKUP(C494,customers!$A$2:$A$1001,customers!$C$2:$C$1001,,0,)))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7"/>
        <v>4.125</v>
      </c>
      <c r="N494" t="str" cm="1">
        <f t="array" ref="N494">_xlfn.IFS(I494="rob","Robusta",I494="exc","Excesla",I494="ara","Arabica",I494="lib","Liberica")</f>
        <v>Excesla</v>
      </c>
      <c r="O494" t="str" cm="1">
        <f t="array" ref="O494">_xlfn.IFS(J494="m","Medium",J494="l","Light",J494="d","Dark")</f>
        <v>Medium</v>
      </c>
      <c r="P494" t="str">
        <f>_xlfn.XLOOKUP(orders[[#This Row],[Customer ID]],customers!$A$2:$A$1001,customers!$I$2:$I$1001,,0)</f>
        <v>Yes</v>
      </c>
    </row>
    <row r="495" spans="1:16" x14ac:dyDescent="0.3">
      <c r="A495" s="2" t="s">
        <v>3277</v>
      </c>
      <c r="B495" s="6">
        <v>44090</v>
      </c>
      <c r="C495" s="2" t="s">
        <v>3278</v>
      </c>
      <c r="D495" t="s">
        <v>6146</v>
      </c>
      <c r="E495" s="2">
        <v>6</v>
      </c>
      <c r="F495" s="2" t="str">
        <f>_xlfn.XLOOKUP(C495,customers!$A$1:$A$1001,customers!$B$1:$B$1001,,0,1)</f>
        <v>Sky Farnish</v>
      </c>
      <c r="G495" s="2" t="str">
        <f>IF((_xlfn.XLOOKUP(C495,customers!$A$2:$A$1001,customers!$C$2:$C$1001,,,)=0),"",(_xlfn.XLOOKUP(C495,customers!$A$2:$A$1001,customers!$C$2:$C$1001,,0,)))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7"/>
        <v>35.82</v>
      </c>
      <c r="N495" t="str" cm="1">
        <f t="array" ref="N495">_xlfn.IFS(I495="rob","Robusta",I495="exc","Excesla",I495="ara","Arabica",I495="lib","Liberica")</f>
        <v>Robusta</v>
      </c>
      <c r="O495" t="str" cm="1">
        <f t="array" ref="O495">_xlfn.IFS(J495="m","Medium",J495="l","Light",J495="d","Dark")</f>
        <v>Medium</v>
      </c>
      <c r="P495" t="str">
        <f>_xlfn.XLOOKUP(orders[[#This Row],[Customer ID]],customers!$A$2:$A$1001,customers!$I$2:$I$1001,,0)</f>
        <v>No</v>
      </c>
    </row>
    <row r="496" spans="1:16" x14ac:dyDescent="0.3">
      <c r="A496" s="2" t="s">
        <v>3283</v>
      </c>
      <c r="B496" s="6">
        <v>44132</v>
      </c>
      <c r="C496" s="2" t="s">
        <v>3284</v>
      </c>
      <c r="D496" t="s">
        <v>6170</v>
      </c>
      <c r="E496" s="2">
        <v>2</v>
      </c>
      <c r="F496" s="2" t="str">
        <f>_xlfn.XLOOKUP(C496,customers!$A$1:$A$1001,customers!$B$1:$B$1001,,0,1)</f>
        <v>Felicia Jecock</v>
      </c>
      <c r="G496" s="2" t="str">
        <f>IF((_xlfn.XLOOKUP(C496,customers!$A$2:$A$1001,customers!$C$2:$C$1001,,,)=0),"",(_xlfn.XLOOKUP(C496,customers!$A$2:$A$1001,customers!$C$2:$C$1001,,0,)))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7"/>
        <v>31.7</v>
      </c>
      <c r="N496" t="str" cm="1">
        <f t="array" ref="N496">_xlfn.IFS(I496="rob","Robusta",I496="exc","Excesla",I496="ara","Arabica",I496="lib","Liberica")</f>
        <v>Liberica</v>
      </c>
      <c r="O496" t="str" cm="1">
        <f t="array" ref="O496">_xlfn.IFS(J496="m","Medium",J496="l","Light",J496="d","Dark")</f>
        <v>Light</v>
      </c>
      <c r="P496" t="str">
        <f>_xlfn.XLOOKUP(orders[[#This Row],[Customer ID]],customers!$A$2:$A$1001,customers!$I$2:$I$1001,,0)</f>
        <v>No</v>
      </c>
    </row>
    <row r="497" spans="1:16" x14ac:dyDescent="0.3">
      <c r="A497" s="2" t="s">
        <v>3289</v>
      </c>
      <c r="B497" s="6">
        <v>43710</v>
      </c>
      <c r="C497" s="2" t="s">
        <v>3290</v>
      </c>
      <c r="D497" t="s">
        <v>6170</v>
      </c>
      <c r="E497" s="2">
        <v>5</v>
      </c>
      <c r="F497" s="2" t="str">
        <f>_xlfn.XLOOKUP(C497,customers!$A$1:$A$1001,customers!$B$1:$B$1001,,0,1)</f>
        <v>Currey MacAllister</v>
      </c>
      <c r="G497" s="2" t="str">
        <f>IF((_xlfn.XLOOKUP(C497,customers!$A$2:$A$1001,customers!$C$2:$C$1001,,,)=0),"",(_xlfn.XLOOKUP(C497,customers!$A$2:$A$1001,customers!$C$2:$C$1001,,0,)))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7"/>
        <v>79.25</v>
      </c>
      <c r="N497" t="str" cm="1">
        <f t="array" ref="N497">_xlfn.IFS(I497="rob","Robusta",I497="exc","Excesla",I497="ara","Arabica",I497="lib","Liberica")</f>
        <v>Liberica</v>
      </c>
      <c r="O497" t="str" cm="1">
        <f t="array" ref="O497">_xlfn.IFS(J497="m","Medium",J497="l","Light",J497="d","Dark")</f>
        <v>Light</v>
      </c>
      <c r="P497" t="str">
        <f>_xlfn.XLOOKUP(orders[[#This Row],[Customer ID]],customers!$A$2:$A$1001,customers!$I$2:$I$1001,,0)</f>
        <v>Yes</v>
      </c>
    </row>
    <row r="498" spans="1:16" x14ac:dyDescent="0.3">
      <c r="A498" s="2" t="s">
        <v>3294</v>
      </c>
      <c r="B498" s="6">
        <v>44438</v>
      </c>
      <c r="C498" s="2" t="s">
        <v>3295</v>
      </c>
      <c r="D498" t="s">
        <v>6153</v>
      </c>
      <c r="E498" s="2">
        <v>3</v>
      </c>
      <c r="F498" s="2" t="str">
        <f>_xlfn.XLOOKUP(C498,customers!$A$1:$A$1001,customers!$B$1:$B$1001,,0,1)</f>
        <v>Hamlen Pallister</v>
      </c>
      <c r="G498" s="2" t="str">
        <f>IF((_xlfn.XLOOKUP(C498,customers!$A$2:$A$1001,customers!$C$2:$C$1001,,,)=0),"",(_xlfn.XLOOKUP(C498,customers!$A$2:$A$1001,customers!$C$2:$C$1001,,0,)))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7"/>
        <v>10.935</v>
      </c>
      <c r="N498" t="str" cm="1">
        <f t="array" ref="N498">_xlfn.IFS(I498="rob","Robusta",I498="exc","Excesla",I498="ara","Arabica",I498="lib","Liberica")</f>
        <v>Excesla</v>
      </c>
      <c r="O498" t="str" cm="1">
        <f t="array" ref="O498">_xlfn.IFS(J498="m","Medium",J498="l","Light",J498="d","Dark")</f>
        <v>Dark</v>
      </c>
      <c r="P498" t="str">
        <f>_xlfn.XLOOKUP(orders[[#This Row],[Customer ID]],customers!$A$2:$A$1001,customers!$I$2:$I$1001,,0)</f>
        <v>No</v>
      </c>
    </row>
    <row r="499" spans="1:16" x14ac:dyDescent="0.3">
      <c r="A499" s="2" t="s">
        <v>3300</v>
      </c>
      <c r="B499" s="6">
        <v>44351</v>
      </c>
      <c r="C499" s="2" t="s">
        <v>3301</v>
      </c>
      <c r="D499" t="s">
        <v>6147</v>
      </c>
      <c r="E499" s="2">
        <v>4</v>
      </c>
      <c r="F499" s="2" t="str">
        <f>_xlfn.XLOOKUP(C499,customers!$A$1:$A$1001,customers!$B$1:$B$1001,,0,1)</f>
        <v>Chantal Mersh</v>
      </c>
      <c r="G499" s="2" t="str">
        <f>IF((_xlfn.XLOOKUP(C499,customers!$A$2:$A$1001,customers!$C$2:$C$1001,,,)=0),"",(_xlfn.XLOOKUP(C499,customers!$A$2:$A$1001,customers!$C$2:$C$1001,,0,)))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7"/>
        <v>39.799999999999997</v>
      </c>
      <c r="N499" t="str" cm="1">
        <f t="array" ref="N499">_xlfn.IFS(I499="rob","Robusta",I499="exc","Excesla",I499="ara","Arabica",I499="lib","Liberica")</f>
        <v>Arabica</v>
      </c>
      <c r="O499" t="str" cm="1">
        <f t="array" ref="O499">_xlfn.IFS(J499="m","Medium",J499="l","Light",J499="d","Dark")</f>
        <v>Dark</v>
      </c>
      <c r="P499" t="str">
        <f>_xlfn.XLOOKUP(orders[[#This Row],[Customer ID]],customers!$A$2:$A$1001,customers!$I$2:$I$1001,,0)</f>
        <v>No</v>
      </c>
    </row>
    <row r="500" spans="1:16" x14ac:dyDescent="0.3">
      <c r="A500" s="2" t="s">
        <v>3307</v>
      </c>
      <c r="B500" s="6">
        <v>44159</v>
      </c>
      <c r="C500" s="2" t="s">
        <v>3368</v>
      </c>
      <c r="D500" t="s">
        <v>6138</v>
      </c>
      <c r="E500" s="2">
        <v>5</v>
      </c>
      <c r="F500" s="2" t="str">
        <f>_xlfn.XLOOKUP(C500,customers!$A$1:$A$1001,customers!$B$1:$B$1001,,0,1)</f>
        <v>Marja Urion</v>
      </c>
      <c r="G500" s="2" t="str">
        <f>IF((_xlfn.XLOOKUP(C500,customers!$A$2:$A$1001,customers!$C$2:$C$1001,,,)=0),"",(_xlfn.XLOOKUP(C500,customers!$A$2:$A$1001,customers!$C$2:$C$1001,,0,)))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7"/>
        <v>49.75</v>
      </c>
      <c r="N500" t="str" cm="1">
        <f t="array" ref="N500">_xlfn.IFS(I500="rob","Robusta",I500="exc","Excesla",I500="ara","Arabica",I500="lib","Liberica")</f>
        <v>Robusta</v>
      </c>
      <c r="O500" t="str" cm="1">
        <f t="array" ref="O500">_xlfn.IFS(J500="m","Medium",J500="l","Light",J500="d","Dark")</f>
        <v>Medium</v>
      </c>
      <c r="P500" t="str">
        <f>_xlfn.XLOOKUP(orders[[#This Row],[Customer ID]],customers!$A$2:$A$1001,customers!$I$2:$I$1001,,0)</f>
        <v>Yes</v>
      </c>
    </row>
    <row r="501" spans="1:16" x14ac:dyDescent="0.3">
      <c r="A501" s="2" t="s">
        <v>3313</v>
      </c>
      <c r="B501" s="6">
        <v>44003</v>
      </c>
      <c r="C501" s="2" t="s">
        <v>3314</v>
      </c>
      <c r="D501" t="s">
        <v>6163</v>
      </c>
      <c r="E501" s="2">
        <v>3</v>
      </c>
      <c r="F501" s="2" t="str">
        <f>_xlfn.XLOOKUP(C501,customers!$A$1:$A$1001,customers!$B$1:$B$1001,,0,1)</f>
        <v>Malynda Purbrick</v>
      </c>
      <c r="G501" s="2" t="str">
        <f>IF((_xlfn.XLOOKUP(C501,customers!$A$2:$A$1001,customers!$C$2:$C$1001,,,)=0),"",(_xlfn.XLOOKUP(C501,customers!$A$2:$A$1001,customers!$C$2:$C$1001,,0,)))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7"/>
        <v>8.0549999999999997</v>
      </c>
      <c r="N501" t="str" cm="1">
        <f t="array" ref="N501">_xlfn.IFS(I501="rob","Robusta",I501="exc","Excesla",I501="ara","Arabica",I501="lib","Liberica")</f>
        <v>Robusta</v>
      </c>
      <c r="O501" t="str" cm="1">
        <f t="array" ref="O501">_xlfn.IFS(J501="m","Medium",J501="l","Light",J501="d","Dark")</f>
        <v>Dark</v>
      </c>
      <c r="P501" t="str">
        <f>_xlfn.XLOOKUP(orders[[#This Row],[Customer ID]],customers!$A$2:$A$1001,customers!$I$2:$I$1001,,0)</f>
        <v>Yes</v>
      </c>
    </row>
    <row r="502" spans="1:16" x14ac:dyDescent="0.3">
      <c r="A502" s="2" t="s">
        <v>3318</v>
      </c>
      <c r="B502" s="6">
        <v>44025</v>
      </c>
      <c r="C502" s="2" t="s">
        <v>3319</v>
      </c>
      <c r="D502" t="s">
        <v>6179</v>
      </c>
      <c r="E502" s="2">
        <v>4</v>
      </c>
      <c r="F502" s="2" t="str">
        <f>_xlfn.XLOOKUP(C502,customers!$A$1:$A$1001,customers!$B$1:$B$1001,,0,1)</f>
        <v>Alf Housaman</v>
      </c>
      <c r="G502" s="2" t="str">
        <f>IF((_xlfn.XLOOKUP(C502,customers!$A$2:$A$1001,customers!$C$2:$C$1001,,,)=0),"",(_xlfn.XLOOKUP(C502,customers!$A$2:$A$1001,customers!$C$2:$C$1001,,0,)))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7"/>
        <v>47.8</v>
      </c>
      <c r="N502" t="str" cm="1">
        <f t="array" ref="N502">_xlfn.IFS(I502="rob","Robusta",I502="exc","Excesla",I502="ara","Arabica",I502="lib","Liberica")</f>
        <v>Robusta</v>
      </c>
      <c r="O502" t="str" cm="1">
        <f t="array" ref="O502">_xlfn.IFS(J502="m","Medium",J502="l","Light",J502="d","Dark")</f>
        <v>Light</v>
      </c>
      <c r="P502" t="str">
        <f>_xlfn.XLOOKUP(orders[[#This Row],[Customer ID]],customers!$A$2:$A$1001,customers!$I$2:$I$1001,,0)</f>
        <v>No</v>
      </c>
    </row>
    <row r="503" spans="1:16" x14ac:dyDescent="0.3">
      <c r="A503" s="2" t="s">
        <v>3323</v>
      </c>
      <c r="B503" s="6">
        <v>43467</v>
      </c>
      <c r="C503" s="2" t="s">
        <v>3324</v>
      </c>
      <c r="D503" t="s">
        <v>6174</v>
      </c>
      <c r="E503" s="2">
        <v>4</v>
      </c>
      <c r="F503" s="2" t="str">
        <f>_xlfn.XLOOKUP(C503,customers!$A$1:$A$1001,customers!$B$1:$B$1001,,0,1)</f>
        <v>Gladi Ducker</v>
      </c>
      <c r="G503" s="2" t="str">
        <f>IF((_xlfn.XLOOKUP(C503,customers!$A$2:$A$1001,customers!$C$2:$C$1001,,,)=0),"",(_xlfn.XLOOKUP(C503,customers!$A$2:$A$1001,customers!$C$2:$C$1001,,0,)))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7"/>
        <v>11.94</v>
      </c>
      <c r="N503" t="str" cm="1">
        <f t="array" ref="N503">_xlfn.IFS(I503="rob","Robusta",I503="exc","Excesla",I503="ara","Arabica",I503="lib","Liberica")</f>
        <v>Robusta</v>
      </c>
      <c r="O503" t="str" cm="1">
        <f t="array" ref="O503">_xlfn.IFS(J503="m","Medium",J503="l","Light",J503="d","Dark")</f>
        <v>Medium</v>
      </c>
      <c r="P503" t="str">
        <f>_xlfn.XLOOKUP(orders[[#This Row],[Customer ID]],customers!$A$2:$A$1001,customers!$I$2:$I$1001,,0)</f>
        <v>No</v>
      </c>
    </row>
    <row r="504" spans="1:16" x14ac:dyDescent="0.3">
      <c r="A504" s="2" t="s">
        <v>3323</v>
      </c>
      <c r="B504" s="6">
        <v>43467</v>
      </c>
      <c r="C504" s="2" t="s">
        <v>3324</v>
      </c>
      <c r="D504" t="s">
        <v>6156</v>
      </c>
      <c r="E504" s="2">
        <v>4</v>
      </c>
      <c r="F504" s="2" t="str">
        <f>_xlfn.XLOOKUP(C504,customers!$A$1:$A$1001,customers!$B$1:$B$1001,,0,1)</f>
        <v>Gladi Ducker</v>
      </c>
      <c r="G504" s="2" t="str">
        <f>IF((_xlfn.XLOOKUP(C504,customers!$A$2:$A$1001,customers!$C$2:$C$1001,,,)=0),"",(_xlfn.XLOOKUP(C504,customers!$A$2:$A$1001,customers!$C$2:$C$1001,,0,)))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7"/>
        <v>16.5</v>
      </c>
      <c r="N504" t="str" cm="1">
        <f t="array" ref="N504">_xlfn.IFS(I504="rob","Robusta",I504="exc","Excesla",I504="ara","Arabica",I504="lib","Liberica")</f>
        <v>Excesla</v>
      </c>
      <c r="O504" t="str" cm="1">
        <f t="array" ref="O504">_xlfn.IFS(J504="m","Medium",J504="l","Light",J504="d","Dark")</f>
        <v>Medium</v>
      </c>
      <c r="P504" t="str">
        <f>_xlfn.XLOOKUP(orders[[#This Row],[Customer ID]],customers!$A$2:$A$1001,customers!$I$2:$I$1001,,0)</f>
        <v>No</v>
      </c>
    </row>
    <row r="505" spans="1:16" x14ac:dyDescent="0.3">
      <c r="A505" s="2" t="s">
        <v>3323</v>
      </c>
      <c r="B505" s="6">
        <v>43467</v>
      </c>
      <c r="C505" s="2" t="s">
        <v>3324</v>
      </c>
      <c r="D505" t="s">
        <v>6143</v>
      </c>
      <c r="E505" s="2">
        <v>4</v>
      </c>
      <c r="F505" s="2" t="str">
        <f>_xlfn.XLOOKUP(C505,customers!$A$1:$A$1001,customers!$B$1:$B$1001,,0,1)</f>
        <v>Gladi Ducker</v>
      </c>
      <c r="G505" s="2" t="str">
        <f>IF((_xlfn.XLOOKUP(C505,customers!$A$2:$A$1001,customers!$C$2:$C$1001,,,)=0),"",(_xlfn.XLOOKUP(C505,customers!$A$2:$A$1001,customers!$C$2:$C$1001,,0,)))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7"/>
        <v>51.8</v>
      </c>
      <c r="N505" t="str" cm="1">
        <f t="array" ref="N505">_xlfn.IFS(I505="rob","Robusta",I505="exc","Excesla",I505="ara","Arabica",I505="lib","Liberica")</f>
        <v>Liberica</v>
      </c>
      <c r="O505" t="str" cm="1">
        <f t="array" ref="O505">_xlfn.IFS(J505="m","Medium",J505="l","Light",J505="d","Dark")</f>
        <v>Dark</v>
      </c>
      <c r="P505" t="str">
        <f>_xlfn.XLOOKUP(orders[[#This Row],[Customer ID]],customers!$A$2:$A$1001,customers!$I$2:$I$1001,,0)</f>
        <v>No</v>
      </c>
    </row>
    <row r="506" spans="1:16" x14ac:dyDescent="0.3">
      <c r="A506" s="2" t="s">
        <v>3323</v>
      </c>
      <c r="B506" s="6">
        <v>43467</v>
      </c>
      <c r="C506" s="2" t="s">
        <v>3324</v>
      </c>
      <c r="D506" t="s">
        <v>6145</v>
      </c>
      <c r="E506" s="2">
        <v>3</v>
      </c>
      <c r="F506" s="2" t="str">
        <f>_xlfn.XLOOKUP(C506,customers!$A$1:$A$1001,customers!$B$1:$B$1001,,0,1)</f>
        <v>Gladi Ducker</v>
      </c>
      <c r="G506" s="2" t="str">
        <f>IF((_xlfn.XLOOKUP(C506,customers!$A$2:$A$1001,customers!$C$2:$C$1001,,,)=0),"",(_xlfn.XLOOKUP(C506,customers!$A$2:$A$1001,customers!$C$2:$C$1001,,0,)))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7"/>
        <v>14.265000000000001</v>
      </c>
      <c r="N506" t="str" cm="1">
        <f t="array" ref="N506">_xlfn.IFS(I506="rob","Robusta",I506="exc","Excesla",I506="ara","Arabica",I506="lib","Liberica")</f>
        <v>Liberica</v>
      </c>
      <c r="O506" t="str" cm="1">
        <f t="array" ref="O506">_xlfn.IFS(J506="m","Medium",J506="l","Light",J506="d","Dark")</f>
        <v>Light</v>
      </c>
      <c r="P506" t="str">
        <f>_xlfn.XLOOKUP(orders[[#This Row],[Customer ID]],customers!$A$2:$A$1001,customers!$I$2:$I$1001,,0)</f>
        <v>No</v>
      </c>
    </row>
    <row r="507" spans="1:16" x14ac:dyDescent="0.3">
      <c r="A507" s="2" t="s">
        <v>3343</v>
      </c>
      <c r="B507" s="6">
        <v>44609</v>
      </c>
      <c r="C507" s="2" t="s">
        <v>3344</v>
      </c>
      <c r="D507" t="s">
        <v>6159</v>
      </c>
      <c r="E507" s="2">
        <v>6</v>
      </c>
      <c r="F507" s="2" t="str">
        <f>_xlfn.XLOOKUP(C507,customers!$A$1:$A$1001,customers!$B$1:$B$1001,,0,1)</f>
        <v>Wain Stearley</v>
      </c>
      <c r="G507" s="2" t="str">
        <f>IF((_xlfn.XLOOKUP(C507,customers!$A$2:$A$1001,customers!$C$2:$C$1001,,,)=0),"",(_xlfn.XLOOKUP(C507,customers!$A$2:$A$1001,customers!$C$2:$C$1001,,0,)))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7"/>
        <v>26.19</v>
      </c>
      <c r="N507" t="str" cm="1">
        <f t="array" ref="N507">_xlfn.IFS(I507="rob","Robusta",I507="exc","Excesla",I507="ara","Arabica",I507="lib","Liberica")</f>
        <v>Liberica</v>
      </c>
      <c r="O507" t="str" cm="1">
        <f t="array" ref="O507">_xlfn.IFS(J507="m","Medium",J507="l","Light",J507="d","Dark")</f>
        <v>Medium</v>
      </c>
      <c r="P507" t="str">
        <f>_xlfn.XLOOKUP(orders[[#This Row],[Customer ID]],customers!$A$2:$A$1001,customers!$I$2:$I$1001,,0)</f>
        <v>No</v>
      </c>
    </row>
    <row r="508" spans="1:16" x14ac:dyDescent="0.3">
      <c r="A508" s="2" t="s">
        <v>3349</v>
      </c>
      <c r="B508" s="6">
        <v>44184</v>
      </c>
      <c r="C508" s="2" t="s">
        <v>3350</v>
      </c>
      <c r="D508" t="s">
        <v>6140</v>
      </c>
      <c r="E508" s="2">
        <v>2</v>
      </c>
      <c r="F508" s="2" t="str">
        <f>_xlfn.XLOOKUP(C508,customers!$A$1:$A$1001,customers!$B$1:$B$1001,,0,1)</f>
        <v>Diane-marie Wincer</v>
      </c>
      <c r="G508" s="2" t="str">
        <f>IF((_xlfn.XLOOKUP(C508,customers!$A$2:$A$1001,customers!$C$2:$C$1001,,,)=0),"",(_xlfn.XLOOKUP(C508,customers!$A$2:$A$1001,customers!$C$2:$C$1001,,0,)))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7"/>
        <v>25.9</v>
      </c>
      <c r="N508" t="str" cm="1">
        <f t="array" ref="N508">_xlfn.IFS(I508="rob","Robusta",I508="exc","Excesla",I508="ara","Arabica",I508="lib","Liberica")</f>
        <v>Arabica</v>
      </c>
      <c r="O508" t="str" cm="1">
        <f t="array" ref="O508">_xlfn.IFS(J508="m","Medium",J508="l","Light",J508="d","Dark")</f>
        <v>Light</v>
      </c>
      <c r="P508" t="str">
        <f>_xlfn.XLOOKUP(orders[[#This Row],[Customer ID]],customers!$A$2:$A$1001,customers!$I$2:$I$1001,,0)</f>
        <v>Yes</v>
      </c>
    </row>
    <row r="509" spans="1:16" x14ac:dyDescent="0.3">
      <c r="A509" s="2" t="s">
        <v>3355</v>
      </c>
      <c r="B509" s="6">
        <v>43516</v>
      </c>
      <c r="C509" s="2" t="s">
        <v>3356</v>
      </c>
      <c r="D509" t="s">
        <v>6182</v>
      </c>
      <c r="E509" s="2">
        <v>3</v>
      </c>
      <c r="F509" s="2" t="str">
        <f>_xlfn.XLOOKUP(C509,customers!$A$1:$A$1001,customers!$B$1:$B$1001,,0,1)</f>
        <v>Perry Lyfield</v>
      </c>
      <c r="G509" s="2" t="str">
        <f>IF((_xlfn.XLOOKUP(C509,customers!$A$2:$A$1001,customers!$C$2:$C$1001,,,)=0),"",(_xlfn.XLOOKUP(C509,customers!$A$2:$A$1001,customers!$C$2:$C$1001,,0,)))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7"/>
        <v>89.35499999999999</v>
      </c>
      <c r="N509" t="str" cm="1">
        <f t="array" ref="N509">_xlfn.IFS(I509="rob","Robusta",I509="exc","Excesla",I509="ara","Arabica",I509="lib","Liberica")</f>
        <v>Arabica</v>
      </c>
      <c r="O509" t="str" cm="1">
        <f t="array" ref="O509">_xlfn.IFS(J509="m","Medium",J509="l","Light",J509="d","Dark")</f>
        <v>Light</v>
      </c>
      <c r="P509" t="str">
        <f>_xlfn.XLOOKUP(orders[[#This Row],[Customer ID]],customers!$A$2:$A$1001,customers!$I$2:$I$1001,,0)</f>
        <v>Yes</v>
      </c>
    </row>
    <row r="510" spans="1:16" x14ac:dyDescent="0.3">
      <c r="A510" s="2" t="s">
        <v>3361</v>
      </c>
      <c r="B510" s="6">
        <v>44210</v>
      </c>
      <c r="C510" s="2" t="s">
        <v>3362</v>
      </c>
      <c r="D510" t="s">
        <v>6169</v>
      </c>
      <c r="E510" s="2">
        <v>6</v>
      </c>
      <c r="F510" s="2" t="str">
        <f>_xlfn.XLOOKUP(C510,customers!$A$1:$A$1001,customers!$B$1:$B$1001,,0,1)</f>
        <v>Heall Perris</v>
      </c>
      <c r="G510" s="2" t="str">
        <f>IF((_xlfn.XLOOKUP(C510,customers!$A$2:$A$1001,customers!$C$2:$C$1001,,,)=0),"",(_xlfn.XLOOKUP(C510,customers!$A$2:$A$1001,customers!$C$2:$C$1001,,0,)))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7"/>
        <v>46.62</v>
      </c>
      <c r="N510" t="str" cm="1">
        <f t="array" ref="N510">_xlfn.IFS(I510="rob","Robusta",I510="exc","Excesla",I510="ara","Arabica",I510="lib","Liberica")</f>
        <v>Liberica</v>
      </c>
      <c r="O510" t="str" cm="1">
        <f t="array" ref="O510">_xlfn.IFS(J510="m","Medium",J510="l","Light",J510="d","Dark")</f>
        <v>Dark</v>
      </c>
      <c r="P510" t="str">
        <f>_xlfn.XLOOKUP(orders[[#This Row],[Customer ID]],customers!$A$2:$A$1001,customers!$I$2:$I$1001,,0)</f>
        <v>No</v>
      </c>
    </row>
    <row r="511" spans="1:16" x14ac:dyDescent="0.3">
      <c r="A511" s="2" t="s">
        <v>3367</v>
      </c>
      <c r="B511" s="6">
        <v>43785</v>
      </c>
      <c r="C511" s="2" t="s">
        <v>3368</v>
      </c>
      <c r="D511" t="s">
        <v>6147</v>
      </c>
      <c r="E511" s="2">
        <v>3</v>
      </c>
      <c r="F511" s="2" t="str">
        <f>_xlfn.XLOOKUP(C511,customers!$A$1:$A$1001,customers!$B$1:$B$1001,,0,1)</f>
        <v>Marja Urion</v>
      </c>
      <c r="G511" s="2" t="str">
        <f>IF((_xlfn.XLOOKUP(C511,customers!$A$2:$A$1001,customers!$C$2:$C$1001,,,)=0),"",(_xlfn.XLOOKUP(C511,customers!$A$2:$A$1001,customers!$C$2:$C$1001,,0,)))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7"/>
        <v>29.849999999999998</v>
      </c>
      <c r="N511" t="str" cm="1">
        <f t="array" ref="N511">_xlfn.IFS(I511="rob","Robusta",I511="exc","Excesla",I511="ara","Arabica",I511="lib","Liberica")</f>
        <v>Arabica</v>
      </c>
      <c r="O511" t="str" cm="1">
        <f t="array" ref="O511">_xlfn.IFS(J511="m","Medium",J511="l","Light",J511="d","Dark")</f>
        <v>Dark</v>
      </c>
      <c r="P511" t="str">
        <f>_xlfn.XLOOKUP(orders[[#This Row],[Customer ID]],customers!$A$2:$A$1001,customers!$I$2:$I$1001,,0)</f>
        <v>Yes</v>
      </c>
    </row>
    <row r="512" spans="1:16" x14ac:dyDescent="0.3">
      <c r="A512" s="2" t="s">
        <v>3373</v>
      </c>
      <c r="B512" s="6">
        <v>43803</v>
      </c>
      <c r="C512" s="2" t="s">
        <v>3374</v>
      </c>
      <c r="D512" t="s">
        <v>6178</v>
      </c>
      <c r="E512" s="2">
        <v>3</v>
      </c>
      <c r="F512" s="2" t="str">
        <f>_xlfn.XLOOKUP(C512,customers!$A$1:$A$1001,customers!$B$1:$B$1001,,0,1)</f>
        <v>Camellia Kid</v>
      </c>
      <c r="G512" s="2" t="str">
        <f>IF((_xlfn.XLOOKUP(C512,customers!$A$2:$A$1001,customers!$C$2:$C$1001,,,)=0),"",(_xlfn.XLOOKUP(C512,customers!$A$2:$A$1001,customers!$C$2:$C$1001,,0,)))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7"/>
        <v>10.754999999999999</v>
      </c>
      <c r="N512" t="str" cm="1">
        <f t="array" ref="N512">_xlfn.IFS(I512="rob","Robusta",I512="exc","Excesla",I512="ara","Arabica",I512="lib","Liberica")</f>
        <v>Robusta</v>
      </c>
      <c r="O512" t="str" cm="1">
        <f t="array" ref="O512">_xlfn.IFS(J512="m","Medium",J512="l","Light",J512="d","Dark")</f>
        <v>Light</v>
      </c>
      <c r="P512" t="str">
        <f>_xlfn.XLOOKUP(orders[[#This Row],[Customer ID]],customers!$A$2:$A$1001,customers!$I$2:$I$1001,,0)</f>
        <v>Yes</v>
      </c>
    </row>
    <row r="513" spans="1:16" x14ac:dyDescent="0.3">
      <c r="A513" s="2" t="s">
        <v>3379</v>
      </c>
      <c r="B513" s="6">
        <v>44043</v>
      </c>
      <c r="C513" s="2" t="s">
        <v>3380</v>
      </c>
      <c r="D513" t="s">
        <v>6152</v>
      </c>
      <c r="E513" s="2">
        <v>4</v>
      </c>
      <c r="F513" s="2" t="str">
        <f>_xlfn.XLOOKUP(C513,customers!$A$1:$A$1001,customers!$B$1:$B$1001,,0,1)</f>
        <v>Carolann Beine</v>
      </c>
      <c r="G513" s="2" t="str">
        <f>IF((_xlfn.XLOOKUP(C513,customers!$A$2:$A$1001,customers!$C$2:$C$1001,,,)=0),"",(_xlfn.XLOOKUP(C513,customers!$A$2:$A$1001,customers!$C$2:$C$1001,,0,)))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7"/>
        <v>13.5</v>
      </c>
      <c r="N513" t="str" cm="1">
        <f t="array" ref="N513">_xlfn.IFS(I513="rob","Robusta",I513="exc","Excesla",I513="ara","Arabica",I513="lib","Liberica")</f>
        <v>Arabica</v>
      </c>
      <c r="O513" t="str" cm="1">
        <f t="array" ref="O513">_xlfn.IFS(J513="m","Medium",J513="l","Light",J513="d","Dark")</f>
        <v>Medium</v>
      </c>
      <c r="P513" t="str">
        <f>_xlfn.XLOOKUP(orders[[#This Row],[Customer ID]],customers!$A$2:$A$1001,customers!$I$2:$I$1001,,0)</f>
        <v>Yes</v>
      </c>
    </row>
    <row r="514" spans="1:16" x14ac:dyDescent="0.3">
      <c r="A514" s="2" t="s">
        <v>3385</v>
      </c>
      <c r="B514" s="6">
        <v>43535</v>
      </c>
      <c r="C514" s="2" t="s">
        <v>3386</v>
      </c>
      <c r="D514" t="s">
        <v>6170</v>
      </c>
      <c r="E514" s="2">
        <v>3</v>
      </c>
      <c r="F514" s="2" t="str">
        <f>_xlfn.XLOOKUP(C514,customers!$A$1:$A$1001,customers!$B$1:$B$1001,,0,1)</f>
        <v>Celia Bakeup</v>
      </c>
      <c r="G514" s="2" t="str">
        <f>IF((_xlfn.XLOOKUP(C514,customers!$A$2:$A$1001,customers!$C$2:$C$1001,,,)=0),"",(_xlfn.XLOOKUP(C514,customers!$A$2:$A$1001,customers!$C$2:$C$1001,,0,)))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7"/>
        <v>47.55</v>
      </c>
      <c r="N514" t="str" cm="1">
        <f t="array" ref="N514">_xlfn.IFS(I514="rob","Robusta",I514="exc","Excesla",I514="ara","Arabica",I514="lib","Liberica")</f>
        <v>Liberica</v>
      </c>
      <c r="O514" t="str" cm="1">
        <f t="array" ref="O514">_xlfn.IFS(J514="m","Medium",J514="l","Light",J514="d","Dark")</f>
        <v>Light</v>
      </c>
      <c r="P514" t="str">
        <f>_xlfn.XLOOKUP(orders[[#This Row],[Customer ID]],customers!$A$2:$A$1001,customers!$I$2:$I$1001,,0)</f>
        <v>No</v>
      </c>
    </row>
    <row r="515" spans="1:16" x14ac:dyDescent="0.3">
      <c r="A515" s="2" t="s">
        <v>3391</v>
      </c>
      <c r="B515" s="6">
        <v>44691</v>
      </c>
      <c r="C515" s="2" t="s">
        <v>3392</v>
      </c>
      <c r="D515" t="s">
        <v>6170</v>
      </c>
      <c r="E515" s="2">
        <v>5</v>
      </c>
      <c r="F515" s="2" t="str">
        <f>_xlfn.XLOOKUP(C515,customers!$A$1:$A$1001,customers!$B$1:$B$1001,,0,1)</f>
        <v>Nataniel Helkin</v>
      </c>
      <c r="G515" s="2" t="str">
        <f>IF((_xlfn.XLOOKUP(C515,customers!$A$2:$A$1001,customers!$C$2:$C$1001,,,)=0),"",(_xlfn.XLOOKUP(C515,customers!$A$2:$A$1001,customers!$C$2:$C$1001,,0,)))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8">L515*E515</f>
        <v>79.25</v>
      </c>
      <c r="N515" t="str" cm="1">
        <f t="array" ref="N515">_xlfn.IFS(I515="rob","Robusta",I515="exc","Excesla",I515="ara","Arabica",I515="lib","Liberica")</f>
        <v>Liberica</v>
      </c>
      <c r="O515" t="str" cm="1">
        <f t="array" ref="O515">_xlfn.IFS(J515="m","Medium",J515="l","Light",J515="d","Dark")</f>
        <v>Light</v>
      </c>
      <c r="P515" t="str">
        <f>_xlfn.XLOOKUP(orders[[#This Row],[Customer ID]],customers!$A$2:$A$1001,customers!$I$2:$I$1001,,0)</f>
        <v>No</v>
      </c>
    </row>
    <row r="516" spans="1:16" x14ac:dyDescent="0.3">
      <c r="A516" s="2" t="s">
        <v>3396</v>
      </c>
      <c r="B516" s="6">
        <v>44555</v>
      </c>
      <c r="C516" s="2" t="s">
        <v>3397</v>
      </c>
      <c r="D516" t="s">
        <v>6159</v>
      </c>
      <c r="E516" s="2">
        <v>6</v>
      </c>
      <c r="F516" s="2" t="str">
        <f>_xlfn.XLOOKUP(C516,customers!$A$1:$A$1001,customers!$B$1:$B$1001,,0,1)</f>
        <v>Pippo Witherington</v>
      </c>
      <c r="G516" s="2" t="str">
        <f>IF((_xlfn.XLOOKUP(C516,customers!$A$2:$A$1001,customers!$C$2:$C$1001,,,)=0),"",(_xlfn.XLOOKUP(C516,customers!$A$2:$A$1001,customers!$C$2:$C$1001,,0,)))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8"/>
        <v>26.19</v>
      </c>
      <c r="N516" t="str" cm="1">
        <f t="array" ref="N516">_xlfn.IFS(I516="rob","Robusta",I516="exc","Excesla",I516="ara","Arabica",I516="lib","Liberica")</f>
        <v>Liberica</v>
      </c>
      <c r="O516" t="str" cm="1">
        <f t="array" ref="O516">_xlfn.IFS(J516="m","Medium",J516="l","Light",J516="d","Dark")</f>
        <v>Medium</v>
      </c>
      <c r="P516" t="str">
        <f>_xlfn.XLOOKUP(orders[[#This Row],[Customer ID]],customers!$A$2:$A$1001,customers!$I$2:$I$1001,,0)</f>
        <v>Yes</v>
      </c>
    </row>
    <row r="517" spans="1:16" x14ac:dyDescent="0.3">
      <c r="A517" s="2" t="s">
        <v>3402</v>
      </c>
      <c r="B517" s="6">
        <v>44673</v>
      </c>
      <c r="C517" s="2" t="s">
        <v>3403</v>
      </c>
      <c r="D517" t="s">
        <v>6173</v>
      </c>
      <c r="E517" s="2">
        <v>3</v>
      </c>
      <c r="F517" s="2" t="str">
        <f>_xlfn.XLOOKUP(C517,customers!$A$1:$A$1001,customers!$B$1:$B$1001,,0,1)</f>
        <v>Tildie Tilzey</v>
      </c>
      <c r="G517" s="2" t="str">
        <f>IF((_xlfn.XLOOKUP(C517,customers!$A$2:$A$1001,customers!$C$2:$C$1001,,,)=0),"",(_xlfn.XLOOKUP(C517,customers!$A$2:$A$1001,customers!$C$2:$C$1001,,0,)))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8"/>
        <v>21.509999999999998</v>
      </c>
      <c r="N517" t="str" cm="1">
        <f t="array" ref="N517">_xlfn.IFS(I517="rob","Robusta",I517="exc","Excesla",I517="ara","Arabica",I517="lib","Liberica")</f>
        <v>Robusta</v>
      </c>
      <c r="O517" t="str" cm="1">
        <f t="array" ref="O517">_xlfn.IFS(J517="m","Medium",J517="l","Light",J517="d","Dark")</f>
        <v>Light</v>
      </c>
      <c r="P517" t="str">
        <f>_xlfn.XLOOKUP(orders[[#This Row],[Customer ID]],customers!$A$2:$A$1001,customers!$I$2:$I$1001,,0)</f>
        <v>No</v>
      </c>
    </row>
    <row r="518" spans="1:16" x14ac:dyDescent="0.3">
      <c r="A518" s="2" t="s">
        <v>3408</v>
      </c>
      <c r="B518" s="6">
        <v>44723</v>
      </c>
      <c r="C518" s="2" t="s">
        <v>3409</v>
      </c>
      <c r="D518" t="s">
        <v>6149</v>
      </c>
      <c r="E518" s="2">
        <v>5</v>
      </c>
      <c r="F518" s="2" t="str">
        <f>_xlfn.XLOOKUP(C518,customers!$A$1:$A$1001,customers!$B$1:$B$1001,,0,1)</f>
        <v>Cindra Burling</v>
      </c>
      <c r="G518" s="2" t="str">
        <f>IF((_xlfn.XLOOKUP(C518,customers!$A$2:$A$1001,customers!$C$2:$C$1001,,,)=0),"",(_xlfn.XLOOKUP(C518,customers!$A$2:$A$1001,customers!$C$2:$C$1001,,0,)))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8"/>
        <v>102.92499999999998</v>
      </c>
      <c r="N518" t="str" cm="1">
        <f t="array" ref="N518">_xlfn.IFS(I518="rob","Robusta",I518="exc","Excesla",I518="ara","Arabica",I518="lib","Liberica")</f>
        <v>Robusta</v>
      </c>
      <c r="O518" t="str" cm="1">
        <f t="array" ref="O518">_xlfn.IFS(J518="m","Medium",J518="l","Light",J518="d","Dark")</f>
        <v>Dark</v>
      </c>
      <c r="P518" t="str">
        <f>_xlfn.XLOOKUP(orders[[#This Row],[Customer ID]],customers!$A$2:$A$1001,customers!$I$2:$I$1001,,0)</f>
        <v>Yes</v>
      </c>
    </row>
    <row r="519" spans="1:16" x14ac:dyDescent="0.3">
      <c r="A519" s="2" t="s">
        <v>3413</v>
      </c>
      <c r="B519" s="6">
        <v>44678</v>
      </c>
      <c r="C519" s="2" t="s">
        <v>3414</v>
      </c>
      <c r="D519" t="s">
        <v>6150</v>
      </c>
      <c r="E519" s="2">
        <v>2</v>
      </c>
      <c r="F519" s="2" t="str">
        <f>_xlfn.XLOOKUP(C519,customers!$A$1:$A$1001,customers!$B$1:$B$1001,,0,1)</f>
        <v>Channa Belamy</v>
      </c>
      <c r="G519" s="2" t="str">
        <f>IF((_xlfn.XLOOKUP(C519,customers!$A$2:$A$1001,customers!$C$2:$C$1001,,,)=0),"",(_xlfn.XLOOKUP(C519,customers!$A$2:$A$1001,customers!$C$2:$C$1001,,0,)))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8"/>
        <v>7.77</v>
      </c>
      <c r="N519" t="str" cm="1">
        <f t="array" ref="N519">_xlfn.IFS(I519="rob","Robusta",I519="exc","Excesla",I519="ara","Arabica",I519="lib","Liberica")</f>
        <v>Liberica</v>
      </c>
      <c r="O519" t="str" cm="1">
        <f t="array" ref="O519">_xlfn.IFS(J519="m","Medium",J519="l","Light",J519="d","Dark")</f>
        <v>Dark</v>
      </c>
      <c r="P519" t="str">
        <f>_xlfn.XLOOKUP(orders[[#This Row],[Customer ID]],customers!$A$2:$A$1001,customers!$I$2:$I$1001,,0)</f>
        <v>No</v>
      </c>
    </row>
    <row r="520" spans="1:16" x14ac:dyDescent="0.3">
      <c r="A520" s="2" t="s">
        <v>3418</v>
      </c>
      <c r="B520" s="6">
        <v>44194</v>
      </c>
      <c r="C520" s="2" t="s">
        <v>3419</v>
      </c>
      <c r="D520" t="s">
        <v>6185</v>
      </c>
      <c r="E520" s="2">
        <v>5</v>
      </c>
      <c r="F520" s="2" t="str">
        <f>_xlfn.XLOOKUP(C520,customers!$A$1:$A$1001,customers!$B$1:$B$1001,,0,1)</f>
        <v>Karl Imorts</v>
      </c>
      <c r="G520" s="2" t="str">
        <f>IF((_xlfn.XLOOKUP(C520,customers!$A$2:$A$1001,customers!$C$2:$C$1001,,,)=0),"",(_xlfn.XLOOKUP(C520,customers!$A$2:$A$1001,customers!$C$2:$C$1001,,0,)))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8"/>
        <v>139.72499999999999</v>
      </c>
      <c r="N520" t="str" cm="1">
        <f t="array" ref="N520">_xlfn.IFS(I520="rob","Robusta",I520="exc","Excesla",I520="ara","Arabica",I520="lib","Liberica")</f>
        <v>Excesla</v>
      </c>
      <c r="O520" t="str" cm="1">
        <f t="array" ref="O520">_xlfn.IFS(J520="m","Medium",J520="l","Light",J520="d","Dark")</f>
        <v>Dark</v>
      </c>
      <c r="P520" t="str">
        <f>_xlfn.XLOOKUP(orders[[#This Row],[Customer ID]],customers!$A$2:$A$1001,customers!$I$2:$I$1001,,0)</f>
        <v>No</v>
      </c>
    </row>
    <row r="521" spans="1:16" x14ac:dyDescent="0.3">
      <c r="A521" s="2" t="s">
        <v>3424</v>
      </c>
      <c r="B521" s="6">
        <v>44026</v>
      </c>
      <c r="C521" s="2" t="s">
        <v>3368</v>
      </c>
      <c r="D521" t="s">
        <v>6158</v>
      </c>
      <c r="E521" s="2">
        <v>2</v>
      </c>
      <c r="F521" s="2" t="str">
        <f>_xlfn.XLOOKUP(C521,customers!$A$1:$A$1001,customers!$B$1:$B$1001,,0,1)</f>
        <v>Marja Urion</v>
      </c>
      <c r="G521" s="2" t="str">
        <f>IF((_xlfn.XLOOKUP(C521,customers!$A$2:$A$1001,customers!$C$2:$C$1001,,,)=0),"",(_xlfn.XLOOKUP(C521,customers!$A$2:$A$1001,customers!$C$2:$C$1001,,0,)))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8"/>
        <v>11.94</v>
      </c>
      <c r="N521" t="str" cm="1">
        <f t="array" ref="N521">_xlfn.IFS(I521="rob","Robusta",I521="exc","Excesla",I521="ara","Arabica",I521="lib","Liberica")</f>
        <v>Arabica</v>
      </c>
      <c r="O521" t="str" cm="1">
        <f t="array" ref="O521">_xlfn.IFS(J521="m","Medium",J521="l","Light",J521="d","Dark")</f>
        <v>Dark</v>
      </c>
      <c r="P521" t="str">
        <f>_xlfn.XLOOKUP(orders[[#This Row],[Customer ID]],customers!$A$2:$A$1001,customers!$I$2:$I$1001,,0)</f>
        <v>Yes</v>
      </c>
    </row>
    <row r="522" spans="1:16" x14ac:dyDescent="0.3">
      <c r="A522" s="2" t="s">
        <v>3430</v>
      </c>
      <c r="B522" s="6">
        <v>44446</v>
      </c>
      <c r="C522" s="2" t="s">
        <v>3431</v>
      </c>
      <c r="D522" t="s">
        <v>6150</v>
      </c>
      <c r="E522" s="2">
        <v>1</v>
      </c>
      <c r="F522" s="2" t="str">
        <f>_xlfn.XLOOKUP(C522,customers!$A$1:$A$1001,customers!$B$1:$B$1001,,0,1)</f>
        <v>Mag Armistead</v>
      </c>
      <c r="G522" s="2" t="str">
        <f>IF((_xlfn.XLOOKUP(C522,customers!$A$2:$A$1001,customers!$C$2:$C$1001,,,)=0),"",(_xlfn.XLOOKUP(C522,customers!$A$2:$A$1001,customers!$C$2:$C$1001,,0,)))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8"/>
        <v>3.8849999999999998</v>
      </c>
      <c r="N522" t="str" cm="1">
        <f t="array" ref="N522">_xlfn.IFS(I522="rob","Robusta",I522="exc","Excesla",I522="ara","Arabica",I522="lib","Liberica")</f>
        <v>Liberica</v>
      </c>
      <c r="O522" t="str" cm="1">
        <f t="array" ref="O522">_xlfn.IFS(J522="m","Medium",J522="l","Light",J522="d","Dark")</f>
        <v>Dark</v>
      </c>
      <c r="P522" t="str">
        <f>_xlfn.XLOOKUP(orders[[#This Row],[Customer ID]],customers!$A$2:$A$1001,customers!$I$2:$I$1001,,0)</f>
        <v>No</v>
      </c>
    </row>
    <row r="523" spans="1:16" x14ac:dyDescent="0.3">
      <c r="A523" s="2" t="s">
        <v>3430</v>
      </c>
      <c r="B523" s="6">
        <v>44446</v>
      </c>
      <c r="C523" s="2" t="s">
        <v>3431</v>
      </c>
      <c r="D523" t="s">
        <v>6138</v>
      </c>
      <c r="E523" s="2">
        <v>4</v>
      </c>
      <c r="F523" s="2" t="str">
        <f>_xlfn.XLOOKUP(C523,customers!$A$1:$A$1001,customers!$B$1:$B$1001,,0,1)</f>
        <v>Mag Armistead</v>
      </c>
      <c r="G523" s="2" t="str">
        <f>IF((_xlfn.XLOOKUP(C523,customers!$A$2:$A$1001,customers!$C$2:$C$1001,,,)=0),"",(_xlfn.XLOOKUP(C523,customers!$A$2:$A$1001,customers!$C$2:$C$1001,,0,)))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8"/>
        <v>39.799999999999997</v>
      </c>
      <c r="N523" t="str" cm="1">
        <f t="array" ref="N523">_xlfn.IFS(I523="rob","Robusta",I523="exc","Excesla",I523="ara","Arabica",I523="lib","Liberica")</f>
        <v>Robusta</v>
      </c>
      <c r="O523" t="str" cm="1">
        <f t="array" ref="O523">_xlfn.IFS(J523="m","Medium",J523="l","Light",J523="d","Dark")</f>
        <v>Medium</v>
      </c>
      <c r="P523" t="str">
        <f>_xlfn.XLOOKUP(orders[[#This Row],[Customer ID]],customers!$A$2:$A$1001,customers!$I$2:$I$1001,,0)</f>
        <v>No</v>
      </c>
    </row>
    <row r="524" spans="1:16" x14ac:dyDescent="0.3">
      <c r="A524" s="2" t="s">
        <v>3441</v>
      </c>
      <c r="B524" s="6">
        <v>43625</v>
      </c>
      <c r="C524" s="2" t="s">
        <v>3442</v>
      </c>
      <c r="D524" t="s">
        <v>6146</v>
      </c>
      <c r="E524" s="2">
        <v>5</v>
      </c>
      <c r="F524" s="2" t="str">
        <f>_xlfn.XLOOKUP(C524,customers!$A$1:$A$1001,customers!$B$1:$B$1001,,0,1)</f>
        <v>Vasili Upstone</v>
      </c>
      <c r="G524" s="2" t="str">
        <f>IF((_xlfn.XLOOKUP(C524,customers!$A$2:$A$1001,customers!$C$2:$C$1001,,,)=0),"",(_xlfn.XLOOKUP(C524,customers!$A$2:$A$1001,customers!$C$2:$C$1001,,0,)))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8"/>
        <v>29.849999999999998</v>
      </c>
      <c r="N524" t="str" cm="1">
        <f t="array" ref="N524">_xlfn.IFS(I524="rob","Robusta",I524="exc","Excesla",I524="ara","Arabica",I524="lib","Liberica")</f>
        <v>Robusta</v>
      </c>
      <c r="O524" t="str" cm="1">
        <f t="array" ref="O524">_xlfn.IFS(J524="m","Medium",J524="l","Light",J524="d","Dark")</f>
        <v>Medium</v>
      </c>
      <c r="P524" t="str">
        <f>_xlfn.XLOOKUP(orders[[#This Row],[Customer ID]],customers!$A$2:$A$1001,customers!$I$2:$I$1001,,0)</f>
        <v>No</v>
      </c>
    </row>
    <row r="525" spans="1:16" x14ac:dyDescent="0.3">
      <c r="A525" s="2" t="s">
        <v>3447</v>
      </c>
      <c r="B525" s="6">
        <v>44129</v>
      </c>
      <c r="C525" s="2" t="s">
        <v>3448</v>
      </c>
      <c r="D525" t="s">
        <v>6165</v>
      </c>
      <c r="E525" s="2">
        <v>1</v>
      </c>
      <c r="F525" s="2" t="str">
        <f>_xlfn.XLOOKUP(C525,customers!$A$1:$A$1001,customers!$B$1:$B$1001,,0,1)</f>
        <v>Berty Beelby</v>
      </c>
      <c r="G525" s="2" t="str">
        <f>IF((_xlfn.XLOOKUP(C525,customers!$A$2:$A$1001,customers!$C$2:$C$1001,,,)=0),"",(_xlfn.XLOOKUP(C525,customers!$A$2:$A$1001,customers!$C$2:$C$1001,,0,)))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8"/>
        <v>29.784999999999997</v>
      </c>
      <c r="N525" t="str" cm="1">
        <f t="array" ref="N525">_xlfn.IFS(I525="rob","Robusta",I525="exc","Excesla",I525="ara","Arabica",I525="lib","Liberica")</f>
        <v>Liberica</v>
      </c>
      <c r="O525" t="str" cm="1">
        <f t="array" ref="O525">_xlfn.IFS(J525="m","Medium",J525="l","Light",J525="d","Dark")</f>
        <v>Dark</v>
      </c>
      <c r="P525" t="str">
        <f>_xlfn.XLOOKUP(orders[[#This Row],[Customer ID]],customers!$A$2:$A$1001,customers!$I$2:$I$1001,,0)</f>
        <v>No</v>
      </c>
    </row>
    <row r="526" spans="1:16" x14ac:dyDescent="0.3">
      <c r="A526" s="2" t="s">
        <v>3453</v>
      </c>
      <c r="B526" s="6">
        <v>44255</v>
      </c>
      <c r="C526" s="2" t="s">
        <v>3454</v>
      </c>
      <c r="D526" t="s">
        <v>6164</v>
      </c>
      <c r="E526" s="2">
        <v>2</v>
      </c>
      <c r="F526" s="2" t="str">
        <f>_xlfn.XLOOKUP(C526,customers!$A$1:$A$1001,customers!$B$1:$B$1001,,0,1)</f>
        <v>Erny Stenyng</v>
      </c>
      <c r="G526" s="2" t="str">
        <f>IF((_xlfn.XLOOKUP(C526,customers!$A$2:$A$1001,customers!$C$2:$C$1001,,,)=0),"",(_xlfn.XLOOKUP(C526,customers!$A$2:$A$1001,customers!$C$2:$C$1001,,0,)))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8"/>
        <v>72.91</v>
      </c>
      <c r="N526" t="str" cm="1">
        <f t="array" ref="N526">_xlfn.IFS(I526="rob","Robusta",I526="exc","Excesla",I526="ara","Arabica",I526="lib","Liberica")</f>
        <v>Liberica</v>
      </c>
      <c r="O526" t="str" cm="1">
        <f t="array" ref="O526">_xlfn.IFS(J526="m","Medium",J526="l","Light",J526="d","Dark")</f>
        <v>Light</v>
      </c>
      <c r="P526" t="str">
        <f>_xlfn.XLOOKUP(orders[[#This Row],[Customer ID]],customers!$A$2:$A$1001,customers!$I$2:$I$1001,,0)</f>
        <v>No</v>
      </c>
    </row>
    <row r="527" spans="1:16" x14ac:dyDescent="0.3">
      <c r="A527" s="2" t="s">
        <v>3458</v>
      </c>
      <c r="B527" s="6">
        <v>44038</v>
      </c>
      <c r="C527" s="2" t="s">
        <v>3459</v>
      </c>
      <c r="D527" t="s">
        <v>6163</v>
      </c>
      <c r="E527" s="2">
        <v>5</v>
      </c>
      <c r="F527" s="2" t="str">
        <f>_xlfn.XLOOKUP(C527,customers!$A$1:$A$1001,customers!$B$1:$B$1001,,0,1)</f>
        <v>Edin Yantsurev</v>
      </c>
      <c r="G527" s="2" t="str">
        <f>IF((_xlfn.XLOOKUP(C527,customers!$A$2:$A$1001,customers!$C$2:$C$1001,,,)=0),"",(_xlfn.XLOOKUP(C527,customers!$A$2:$A$1001,customers!$C$2:$C$1001,,0,)))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8"/>
        <v>13.424999999999997</v>
      </c>
      <c r="N527" t="str" cm="1">
        <f t="array" ref="N527">_xlfn.IFS(I527="rob","Robusta",I527="exc","Excesla",I527="ara","Arabica",I527="lib","Liberica")</f>
        <v>Robusta</v>
      </c>
      <c r="O527" t="str" cm="1">
        <f t="array" ref="O527">_xlfn.IFS(J527="m","Medium",J527="l","Light",J527="d","Dark")</f>
        <v>Dark</v>
      </c>
      <c r="P527" t="str">
        <f>_xlfn.XLOOKUP(orders[[#This Row],[Customer ID]],customers!$A$2:$A$1001,customers!$I$2:$I$1001,,0)</f>
        <v>Yes</v>
      </c>
    </row>
    <row r="528" spans="1:16" x14ac:dyDescent="0.3">
      <c r="A528" s="2" t="s">
        <v>3463</v>
      </c>
      <c r="B528" s="6">
        <v>44717</v>
      </c>
      <c r="C528" s="2" t="s">
        <v>3464</v>
      </c>
      <c r="D528" t="s">
        <v>6166</v>
      </c>
      <c r="E528" s="2">
        <v>4</v>
      </c>
      <c r="F528" s="2" t="str">
        <f>_xlfn.XLOOKUP(C528,customers!$A$1:$A$1001,customers!$B$1:$B$1001,,0,1)</f>
        <v>Webb Speechly</v>
      </c>
      <c r="G528" s="2" t="str">
        <f>IF((_xlfn.XLOOKUP(C528,customers!$A$2:$A$1001,customers!$C$2:$C$1001,,,)=0),"",(_xlfn.XLOOKUP(C528,customers!$A$2:$A$1001,customers!$C$2:$C$1001,,0,)))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8"/>
        <v>126.49999999999999</v>
      </c>
      <c r="N528" t="str" cm="1">
        <f t="array" ref="N528">_xlfn.IFS(I528="rob","Robusta",I528="exc","Excesla",I528="ara","Arabica",I528="lib","Liberica")</f>
        <v>Excesla</v>
      </c>
      <c r="O528" t="str" cm="1">
        <f t="array" ref="O528">_xlfn.IFS(J528="m","Medium",J528="l","Light",J528="d","Dark")</f>
        <v>Medium</v>
      </c>
      <c r="P528" t="str">
        <f>_xlfn.XLOOKUP(orders[[#This Row],[Customer ID]],customers!$A$2:$A$1001,customers!$I$2:$I$1001,,0)</f>
        <v>Yes</v>
      </c>
    </row>
    <row r="529" spans="1:16" x14ac:dyDescent="0.3">
      <c r="A529" s="2" t="s">
        <v>3469</v>
      </c>
      <c r="B529" s="6">
        <v>43517</v>
      </c>
      <c r="C529" s="2" t="s">
        <v>3470</v>
      </c>
      <c r="D529" t="s">
        <v>6139</v>
      </c>
      <c r="E529" s="2">
        <v>5</v>
      </c>
      <c r="F529" s="2" t="str">
        <f>_xlfn.XLOOKUP(C529,customers!$A$1:$A$1001,customers!$B$1:$B$1001,,0,1)</f>
        <v>Irvine Phillpot</v>
      </c>
      <c r="G529" s="2" t="str">
        <f>IF((_xlfn.XLOOKUP(C529,customers!$A$2:$A$1001,customers!$C$2:$C$1001,,,)=0),"",(_xlfn.XLOOKUP(C529,customers!$A$2:$A$1001,customers!$C$2:$C$1001,,0,)))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8"/>
        <v>41.25</v>
      </c>
      <c r="N529" t="str" cm="1">
        <f t="array" ref="N529">_xlfn.IFS(I529="rob","Robusta",I529="exc","Excesla",I529="ara","Arabica",I529="lib","Liberica")</f>
        <v>Excesla</v>
      </c>
      <c r="O529" t="str" cm="1">
        <f t="array" ref="O529">_xlfn.IFS(J529="m","Medium",J529="l","Light",J529="d","Dark")</f>
        <v>Medium</v>
      </c>
      <c r="P529" t="str">
        <f>_xlfn.XLOOKUP(orders[[#This Row],[Customer ID]],customers!$A$2:$A$1001,customers!$I$2:$I$1001,,0)</f>
        <v>No</v>
      </c>
    </row>
    <row r="530" spans="1:16" x14ac:dyDescent="0.3">
      <c r="A530" s="2" t="s">
        <v>3475</v>
      </c>
      <c r="B530" s="6">
        <v>43926</v>
      </c>
      <c r="C530" s="2" t="s">
        <v>3476</v>
      </c>
      <c r="D530" t="s">
        <v>6176</v>
      </c>
      <c r="E530" s="2">
        <v>6</v>
      </c>
      <c r="F530" s="2" t="str">
        <f>_xlfn.XLOOKUP(C530,customers!$A$1:$A$1001,customers!$B$1:$B$1001,,0,1)</f>
        <v>Lem Pennacci</v>
      </c>
      <c r="G530" s="2" t="str">
        <f>IF((_xlfn.XLOOKUP(C530,customers!$A$2:$A$1001,customers!$C$2:$C$1001,,,)=0),"",(_xlfn.XLOOKUP(C530,customers!$A$2:$A$1001,customers!$C$2:$C$1001,,0,)))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8"/>
        <v>53.46</v>
      </c>
      <c r="N530" t="str" cm="1">
        <f t="array" ref="N530">_xlfn.IFS(I530="rob","Robusta",I530="exc","Excesla",I530="ara","Arabica",I530="lib","Liberica")</f>
        <v>Excesla</v>
      </c>
      <c r="O530" t="str" cm="1">
        <f t="array" ref="O530">_xlfn.IFS(J530="m","Medium",J530="l","Light",J530="d","Dark")</f>
        <v>Light</v>
      </c>
      <c r="P530" t="str">
        <f>_xlfn.XLOOKUP(orders[[#This Row],[Customer ID]],customers!$A$2:$A$1001,customers!$I$2:$I$1001,,0)</f>
        <v>No</v>
      </c>
    </row>
    <row r="531" spans="1:16" x14ac:dyDescent="0.3">
      <c r="A531" s="2" t="s">
        <v>3481</v>
      </c>
      <c r="B531" s="6">
        <v>43475</v>
      </c>
      <c r="C531" s="2" t="s">
        <v>3482</v>
      </c>
      <c r="D531" t="s">
        <v>6138</v>
      </c>
      <c r="E531" s="2">
        <v>6</v>
      </c>
      <c r="F531" s="2" t="str">
        <f>_xlfn.XLOOKUP(C531,customers!$A$1:$A$1001,customers!$B$1:$B$1001,,0,1)</f>
        <v>Starr Arpin</v>
      </c>
      <c r="G531" s="2" t="str">
        <f>IF((_xlfn.XLOOKUP(C531,customers!$A$2:$A$1001,customers!$C$2:$C$1001,,,)=0),"",(_xlfn.XLOOKUP(C531,customers!$A$2:$A$1001,customers!$C$2:$C$1001,,0,)))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8"/>
        <v>59.699999999999996</v>
      </c>
      <c r="N531" t="str" cm="1">
        <f t="array" ref="N531">_xlfn.IFS(I531="rob","Robusta",I531="exc","Excesla",I531="ara","Arabica",I531="lib","Liberica")</f>
        <v>Robusta</v>
      </c>
      <c r="O531" t="str" cm="1">
        <f t="array" ref="O531">_xlfn.IFS(J531="m","Medium",J531="l","Light",J531="d","Dark")</f>
        <v>Medium</v>
      </c>
      <c r="P531" t="str">
        <f>_xlfn.XLOOKUP(orders[[#This Row],[Customer ID]],customers!$A$2:$A$1001,customers!$I$2:$I$1001,,0)</f>
        <v>No</v>
      </c>
    </row>
    <row r="532" spans="1:16" x14ac:dyDescent="0.3">
      <c r="A532" s="2" t="s">
        <v>3487</v>
      </c>
      <c r="B532" s="6">
        <v>44663</v>
      </c>
      <c r="C532" s="2" t="s">
        <v>3488</v>
      </c>
      <c r="D532" t="s">
        <v>6138</v>
      </c>
      <c r="E532" s="2">
        <v>6</v>
      </c>
      <c r="F532" s="2" t="str">
        <f>_xlfn.XLOOKUP(C532,customers!$A$1:$A$1001,customers!$B$1:$B$1001,,0,1)</f>
        <v>Donny Fries</v>
      </c>
      <c r="G532" s="2" t="str">
        <f>IF((_xlfn.XLOOKUP(C532,customers!$A$2:$A$1001,customers!$C$2:$C$1001,,,)=0),"",(_xlfn.XLOOKUP(C532,customers!$A$2:$A$1001,customers!$C$2:$C$1001,,0,)))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8"/>
        <v>59.699999999999996</v>
      </c>
      <c r="N532" t="str" cm="1">
        <f t="array" ref="N532">_xlfn.IFS(I532="rob","Robusta",I532="exc","Excesla",I532="ara","Arabica",I532="lib","Liberica")</f>
        <v>Robusta</v>
      </c>
      <c r="O532" t="str" cm="1">
        <f t="array" ref="O532">_xlfn.IFS(J532="m","Medium",J532="l","Light",J532="d","Dark")</f>
        <v>Medium</v>
      </c>
      <c r="P532" t="str">
        <f>_xlfn.XLOOKUP(orders[[#This Row],[Customer ID]],customers!$A$2:$A$1001,customers!$I$2:$I$1001,,0)</f>
        <v>No</v>
      </c>
    </row>
    <row r="533" spans="1:16" x14ac:dyDescent="0.3">
      <c r="A533" s="2" t="s">
        <v>3493</v>
      </c>
      <c r="B533" s="6">
        <v>44591</v>
      </c>
      <c r="C533" s="2" t="s">
        <v>3494</v>
      </c>
      <c r="D533" t="s">
        <v>6177</v>
      </c>
      <c r="E533" s="2">
        <v>5</v>
      </c>
      <c r="F533" s="2" t="str">
        <f>_xlfn.XLOOKUP(C533,customers!$A$1:$A$1001,customers!$B$1:$B$1001,,0,1)</f>
        <v>Rana Sharer</v>
      </c>
      <c r="G533" s="2" t="str">
        <f>IF((_xlfn.XLOOKUP(C533,customers!$A$2:$A$1001,customers!$C$2:$C$1001,,,)=0),"",(_xlfn.XLOOKUP(C533,customers!$A$2:$A$1001,customers!$C$2:$C$1001,,0,)))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8"/>
        <v>44.75</v>
      </c>
      <c r="N533" t="str" cm="1">
        <f t="array" ref="N533">_xlfn.IFS(I533="rob","Robusta",I533="exc","Excesla",I533="ara","Arabica",I533="lib","Liberica")</f>
        <v>Robusta</v>
      </c>
      <c r="O533" t="str" cm="1">
        <f t="array" ref="O533">_xlfn.IFS(J533="m","Medium",J533="l","Light",J533="d","Dark")</f>
        <v>Dark</v>
      </c>
      <c r="P533" t="str">
        <f>_xlfn.XLOOKUP(orders[[#This Row],[Customer ID]],customers!$A$2:$A$1001,customers!$I$2:$I$1001,,0)</f>
        <v>No</v>
      </c>
    </row>
    <row r="534" spans="1:16" x14ac:dyDescent="0.3">
      <c r="A534" s="2" t="s">
        <v>3499</v>
      </c>
      <c r="B534" s="6">
        <v>44330</v>
      </c>
      <c r="C534" s="2" t="s">
        <v>3500</v>
      </c>
      <c r="D534" t="s">
        <v>6139</v>
      </c>
      <c r="E534" s="2">
        <v>2</v>
      </c>
      <c r="F534" s="2" t="str">
        <f>_xlfn.XLOOKUP(C534,customers!$A$1:$A$1001,customers!$B$1:$B$1001,,0,1)</f>
        <v>Nannie Naseby</v>
      </c>
      <c r="G534" s="2" t="str">
        <f>IF((_xlfn.XLOOKUP(C534,customers!$A$2:$A$1001,customers!$C$2:$C$1001,,,)=0),"",(_xlfn.XLOOKUP(C534,customers!$A$2:$A$1001,customers!$C$2:$C$1001,,0,)))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8"/>
        <v>16.5</v>
      </c>
      <c r="N534" t="str" cm="1">
        <f t="array" ref="N534">_xlfn.IFS(I534="rob","Robusta",I534="exc","Excesla",I534="ara","Arabica",I534="lib","Liberica")</f>
        <v>Excesla</v>
      </c>
      <c r="O534" t="str" cm="1">
        <f t="array" ref="O534">_xlfn.IFS(J534="m","Medium",J534="l","Light",J534="d","Dark")</f>
        <v>Medium</v>
      </c>
      <c r="P534" t="str">
        <f>_xlfn.XLOOKUP(orders[[#This Row],[Customer ID]],customers!$A$2:$A$1001,customers!$I$2:$I$1001,,0)</f>
        <v>Yes</v>
      </c>
    </row>
    <row r="535" spans="1:16" x14ac:dyDescent="0.3">
      <c r="A535" s="2" t="s">
        <v>3505</v>
      </c>
      <c r="B535" s="6">
        <v>44724</v>
      </c>
      <c r="C535" s="2" t="s">
        <v>3506</v>
      </c>
      <c r="D535" t="s">
        <v>6172</v>
      </c>
      <c r="E535" s="2">
        <v>4</v>
      </c>
      <c r="F535" s="2" t="str">
        <f>_xlfn.XLOOKUP(C535,customers!$A$1:$A$1001,customers!$B$1:$B$1001,,0,1)</f>
        <v>Rea Offell</v>
      </c>
      <c r="G535" s="2" t="str">
        <f>IF((_xlfn.XLOOKUP(C535,customers!$A$2:$A$1001,customers!$C$2:$C$1001,,,)=0),"",(_xlfn.XLOOKUP(C535,customers!$A$2:$A$1001,customers!$C$2:$C$1001,,0,)))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8"/>
        <v>21.479999999999997</v>
      </c>
      <c r="N535" t="str" cm="1">
        <f t="array" ref="N535">_xlfn.IFS(I535="rob","Robusta",I535="exc","Excesla",I535="ara","Arabica",I535="lib","Liberica")</f>
        <v>Robusta</v>
      </c>
      <c r="O535" t="str" cm="1">
        <f t="array" ref="O535">_xlfn.IFS(J535="m","Medium",J535="l","Light",J535="d","Dark")</f>
        <v>Dark</v>
      </c>
      <c r="P535" t="str">
        <f>_xlfn.XLOOKUP(orders[[#This Row],[Customer ID]],customers!$A$2:$A$1001,customers!$I$2:$I$1001,,0)</f>
        <v>No</v>
      </c>
    </row>
    <row r="536" spans="1:16" x14ac:dyDescent="0.3">
      <c r="A536" s="2" t="s">
        <v>3510</v>
      </c>
      <c r="B536" s="6">
        <v>44563</v>
      </c>
      <c r="C536" s="2" t="s">
        <v>3511</v>
      </c>
      <c r="D536" t="s">
        <v>6151</v>
      </c>
      <c r="E536" s="2">
        <v>2</v>
      </c>
      <c r="F536" s="2" t="str">
        <f>_xlfn.XLOOKUP(C536,customers!$A$1:$A$1001,customers!$B$1:$B$1001,,0,1)</f>
        <v>Kris O'Cullen</v>
      </c>
      <c r="G536" s="2" t="str">
        <f>IF((_xlfn.XLOOKUP(C536,customers!$A$2:$A$1001,customers!$C$2:$C$1001,,,)=0),"",(_xlfn.XLOOKUP(C536,customers!$A$2:$A$1001,customers!$C$2:$C$1001,,0,)))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8"/>
        <v>45.769999999999996</v>
      </c>
      <c r="N536" t="str" cm="1">
        <f t="array" ref="N536">_xlfn.IFS(I536="rob","Robusta",I536="exc","Excesla",I536="ara","Arabica",I536="lib","Liberica")</f>
        <v>Robusta</v>
      </c>
      <c r="O536" t="str" cm="1">
        <f t="array" ref="O536">_xlfn.IFS(J536="m","Medium",J536="l","Light",J536="d","Dark")</f>
        <v>Medium</v>
      </c>
      <c r="P536" t="str">
        <f>_xlfn.XLOOKUP(orders[[#This Row],[Customer ID]],customers!$A$2:$A$1001,customers!$I$2:$I$1001,,0)</f>
        <v>Yes</v>
      </c>
    </row>
    <row r="537" spans="1:16" x14ac:dyDescent="0.3">
      <c r="A537" s="2" t="s">
        <v>3516</v>
      </c>
      <c r="B537" s="6">
        <v>44585</v>
      </c>
      <c r="C537" s="2" t="s">
        <v>3517</v>
      </c>
      <c r="D537" t="s">
        <v>6145</v>
      </c>
      <c r="E537" s="2">
        <v>2</v>
      </c>
      <c r="F537" s="2" t="str">
        <f>_xlfn.XLOOKUP(C537,customers!$A$1:$A$1001,customers!$B$1:$B$1001,,0,1)</f>
        <v>Timoteo Glisane</v>
      </c>
      <c r="G537" s="2" t="str">
        <f>IF((_xlfn.XLOOKUP(C537,customers!$A$2:$A$1001,customers!$C$2:$C$1001,,,)=0),"",(_xlfn.XLOOKUP(C537,customers!$A$2:$A$1001,customers!$C$2:$C$1001,,0,)))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8"/>
        <v>9.51</v>
      </c>
      <c r="N537" t="str" cm="1">
        <f t="array" ref="N537">_xlfn.IFS(I537="rob","Robusta",I537="exc","Excesla",I537="ara","Arabica",I537="lib","Liberica")</f>
        <v>Liberica</v>
      </c>
      <c r="O537" t="str" cm="1">
        <f t="array" ref="O537">_xlfn.IFS(J537="m","Medium",J537="l","Light",J537="d","Dark")</f>
        <v>Light</v>
      </c>
      <c r="P537" t="str">
        <f>_xlfn.XLOOKUP(orders[[#This Row],[Customer ID]],customers!$A$2:$A$1001,customers!$I$2:$I$1001,,0)</f>
        <v>No</v>
      </c>
    </row>
    <row r="538" spans="1:16" x14ac:dyDescent="0.3">
      <c r="A538" s="2" t="s">
        <v>3521</v>
      </c>
      <c r="B538" s="6">
        <v>43544</v>
      </c>
      <c r="C538" s="2" t="s">
        <v>3368</v>
      </c>
      <c r="D538" t="s">
        <v>6163</v>
      </c>
      <c r="E538" s="2">
        <v>3</v>
      </c>
      <c r="F538" s="2" t="str">
        <f>_xlfn.XLOOKUP(C538,customers!$A$1:$A$1001,customers!$B$1:$B$1001,,0,1)</f>
        <v>Marja Urion</v>
      </c>
      <c r="G538" s="2" t="str">
        <f>IF((_xlfn.XLOOKUP(C538,customers!$A$2:$A$1001,customers!$C$2:$C$1001,,,)=0),"",(_xlfn.XLOOKUP(C538,customers!$A$2:$A$1001,customers!$C$2:$C$1001,,0,)))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8"/>
        <v>8.0549999999999997</v>
      </c>
      <c r="N538" t="str" cm="1">
        <f t="array" ref="N538">_xlfn.IFS(I538="rob","Robusta",I538="exc","Excesla",I538="ara","Arabica",I538="lib","Liberica")</f>
        <v>Robusta</v>
      </c>
      <c r="O538" t="str" cm="1">
        <f t="array" ref="O538">_xlfn.IFS(J538="m","Medium",J538="l","Light",J538="d","Dark")</f>
        <v>Dark</v>
      </c>
      <c r="P538" t="str">
        <f>_xlfn.XLOOKUP(orders[[#This Row],[Customer ID]],customers!$A$2:$A$1001,customers!$I$2:$I$1001,,0)</f>
        <v>Yes</v>
      </c>
    </row>
    <row r="539" spans="1:16" x14ac:dyDescent="0.3">
      <c r="A539" s="2" t="s">
        <v>3527</v>
      </c>
      <c r="B539" s="6">
        <v>44156</v>
      </c>
      <c r="C539" s="2" t="s">
        <v>3528</v>
      </c>
      <c r="D539" t="s">
        <v>6185</v>
      </c>
      <c r="E539" s="2">
        <v>4</v>
      </c>
      <c r="F539" s="2" t="str">
        <f>_xlfn.XLOOKUP(C539,customers!$A$1:$A$1001,customers!$B$1:$B$1001,,0,1)</f>
        <v>Hildegarde Brangan</v>
      </c>
      <c r="G539" s="2" t="str">
        <f>IF((_xlfn.XLOOKUP(C539,customers!$A$2:$A$1001,customers!$C$2:$C$1001,,,)=0),"",(_xlfn.XLOOKUP(C539,customers!$A$2:$A$1001,customers!$C$2:$C$1001,,0,)))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8"/>
        <v>111.78</v>
      </c>
      <c r="N539" t="str" cm="1">
        <f t="array" ref="N539">_xlfn.IFS(I539="rob","Robusta",I539="exc","Excesla",I539="ara","Arabica",I539="lib","Liberica")</f>
        <v>Excesla</v>
      </c>
      <c r="O539" t="str" cm="1">
        <f t="array" ref="O539">_xlfn.IFS(J539="m","Medium",J539="l","Light",J539="d","Dark")</f>
        <v>Dark</v>
      </c>
      <c r="P539" t="str">
        <f>_xlfn.XLOOKUP(orders[[#This Row],[Customer ID]],customers!$A$2:$A$1001,customers!$I$2:$I$1001,,0)</f>
        <v>Yes</v>
      </c>
    </row>
    <row r="540" spans="1:16" x14ac:dyDescent="0.3">
      <c r="A540" s="2" t="s">
        <v>3532</v>
      </c>
      <c r="B540" s="6">
        <v>44482</v>
      </c>
      <c r="C540" s="2" t="s">
        <v>3533</v>
      </c>
      <c r="D540" t="s">
        <v>6163</v>
      </c>
      <c r="E540" s="2">
        <v>4</v>
      </c>
      <c r="F540" s="2" t="str">
        <f>_xlfn.XLOOKUP(C540,customers!$A$1:$A$1001,customers!$B$1:$B$1001,,0,1)</f>
        <v>Amii Gallyon</v>
      </c>
      <c r="G540" s="2" t="str">
        <f>IF((_xlfn.XLOOKUP(C540,customers!$A$2:$A$1001,customers!$C$2:$C$1001,,,)=0),"",(_xlfn.XLOOKUP(C540,customers!$A$2:$A$1001,customers!$C$2:$C$1001,,0,)))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8"/>
        <v>10.739999999999998</v>
      </c>
      <c r="N540" t="str" cm="1">
        <f t="array" ref="N540">_xlfn.IFS(I540="rob","Robusta",I540="exc","Excesla",I540="ara","Arabica",I540="lib","Liberica")</f>
        <v>Robusta</v>
      </c>
      <c r="O540" t="str" cm="1">
        <f t="array" ref="O540">_xlfn.IFS(J540="m","Medium",J540="l","Light",J540="d","Dark")</f>
        <v>Dark</v>
      </c>
      <c r="P540" t="str">
        <f>_xlfn.XLOOKUP(orders[[#This Row],[Customer ID]],customers!$A$2:$A$1001,customers!$I$2:$I$1001,,0)</f>
        <v>Yes</v>
      </c>
    </row>
    <row r="541" spans="1:16" x14ac:dyDescent="0.3">
      <c r="A541" s="2" t="s">
        <v>3537</v>
      </c>
      <c r="B541" s="6">
        <v>44488</v>
      </c>
      <c r="C541" s="2" t="s">
        <v>3538</v>
      </c>
      <c r="D541" t="s">
        <v>6172</v>
      </c>
      <c r="E541" s="2">
        <v>5</v>
      </c>
      <c r="F541" s="2" t="str">
        <f>_xlfn.XLOOKUP(C541,customers!$A$1:$A$1001,customers!$B$1:$B$1001,,0,1)</f>
        <v>Birgit Domange</v>
      </c>
      <c r="G541" s="2" t="str">
        <f>IF((_xlfn.XLOOKUP(C541,customers!$A$2:$A$1001,customers!$C$2:$C$1001,,,)=0),"",(_xlfn.XLOOKUP(C541,customers!$A$2:$A$1001,customers!$C$2:$C$1001,,0,)))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8"/>
        <v>26.849999999999994</v>
      </c>
      <c r="N541" t="str" cm="1">
        <f t="array" ref="N541">_xlfn.IFS(I541="rob","Robusta",I541="exc","Excesla",I541="ara","Arabica",I541="lib","Liberica")</f>
        <v>Robusta</v>
      </c>
      <c r="O541" t="str" cm="1">
        <f t="array" ref="O541">_xlfn.IFS(J541="m","Medium",J541="l","Light",J541="d","Dark")</f>
        <v>Dark</v>
      </c>
      <c r="P541" t="str">
        <f>_xlfn.XLOOKUP(orders[[#This Row],[Customer ID]],customers!$A$2:$A$1001,customers!$I$2:$I$1001,,0)</f>
        <v>No</v>
      </c>
    </row>
    <row r="542" spans="1:16" x14ac:dyDescent="0.3">
      <c r="A542" s="2" t="s">
        <v>3542</v>
      </c>
      <c r="B542" s="6">
        <v>43584</v>
      </c>
      <c r="C542" s="2" t="s">
        <v>3543</v>
      </c>
      <c r="D542" t="s">
        <v>6170</v>
      </c>
      <c r="E542" s="2">
        <v>4</v>
      </c>
      <c r="F542" s="2" t="str">
        <f>_xlfn.XLOOKUP(C542,customers!$A$1:$A$1001,customers!$B$1:$B$1001,,0,1)</f>
        <v>Killian Osler</v>
      </c>
      <c r="G542" s="2" t="str">
        <f>IF((_xlfn.XLOOKUP(C542,customers!$A$2:$A$1001,customers!$C$2:$C$1001,,,)=0),"",(_xlfn.XLOOKUP(C542,customers!$A$2:$A$1001,customers!$C$2:$C$1001,,0,)))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8"/>
        <v>63.4</v>
      </c>
      <c r="N542" t="str" cm="1">
        <f t="array" ref="N542">_xlfn.IFS(I542="rob","Robusta",I542="exc","Excesla",I542="ara","Arabica",I542="lib","Liberica")</f>
        <v>Liberica</v>
      </c>
      <c r="O542" t="str" cm="1">
        <f t="array" ref="O542">_xlfn.IFS(J542="m","Medium",J542="l","Light",J542="d","Dark")</f>
        <v>Light</v>
      </c>
      <c r="P542" t="str">
        <f>_xlfn.XLOOKUP(orders[[#This Row],[Customer ID]],customers!$A$2:$A$1001,customers!$I$2:$I$1001,,0)</f>
        <v>Yes</v>
      </c>
    </row>
    <row r="543" spans="1:16" x14ac:dyDescent="0.3">
      <c r="A543" s="2" t="s">
        <v>3548</v>
      </c>
      <c r="B543" s="6">
        <v>43750</v>
      </c>
      <c r="C543" s="2" t="s">
        <v>3549</v>
      </c>
      <c r="D543" t="s">
        <v>6168</v>
      </c>
      <c r="E543" s="2">
        <v>1</v>
      </c>
      <c r="F543" s="2" t="str">
        <f>_xlfn.XLOOKUP(C543,customers!$A$1:$A$1001,customers!$B$1:$B$1001,,0,1)</f>
        <v>Lora Dukes</v>
      </c>
      <c r="G543" s="2" t="str">
        <f>IF((_xlfn.XLOOKUP(C543,customers!$A$2:$A$1001,customers!$C$2:$C$1001,,,)=0),"",(_xlfn.XLOOKUP(C543,customers!$A$2:$A$1001,customers!$C$2:$C$1001,,0,)))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8"/>
        <v>22.884999999999998</v>
      </c>
      <c r="N543" t="str" cm="1">
        <f t="array" ref="N543">_xlfn.IFS(I543="rob","Robusta",I543="exc","Excesla",I543="ara","Arabica",I543="lib","Liberica")</f>
        <v>Arabica</v>
      </c>
      <c r="O543" t="str" cm="1">
        <f t="array" ref="O543">_xlfn.IFS(J543="m","Medium",J543="l","Light",J543="d","Dark")</f>
        <v>Dark</v>
      </c>
      <c r="P543" t="str">
        <f>_xlfn.XLOOKUP(orders[[#This Row],[Customer ID]],customers!$A$2:$A$1001,customers!$I$2:$I$1001,,0)</f>
        <v>Yes</v>
      </c>
    </row>
    <row r="544" spans="1:16" x14ac:dyDescent="0.3">
      <c r="A544" s="2" t="s">
        <v>3553</v>
      </c>
      <c r="B544" s="6">
        <v>44335</v>
      </c>
      <c r="C544" s="2" t="s">
        <v>3554</v>
      </c>
      <c r="D544" t="s">
        <v>6175</v>
      </c>
      <c r="E544" s="2">
        <v>4</v>
      </c>
      <c r="F544" s="2" t="str">
        <f>_xlfn.XLOOKUP(C544,customers!$A$1:$A$1001,customers!$B$1:$B$1001,,0,1)</f>
        <v>Zack Pellett</v>
      </c>
      <c r="G544" s="2" t="str">
        <f>IF((_xlfn.XLOOKUP(C544,customers!$A$2:$A$1001,customers!$C$2:$C$1001,,,)=0),"",(_xlfn.XLOOKUP(C544,customers!$A$2:$A$1001,customers!$C$2:$C$1001,,0,)))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8"/>
        <v>103.49999999999999</v>
      </c>
      <c r="N544" t="str" cm="1">
        <f t="array" ref="N544">_xlfn.IFS(I544="rob","Robusta",I544="exc","Excesla",I544="ara","Arabica",I544="lib","Liberica")</f>
        <v>Arabica</v>
      </c>
      <c r="O544" t="str" cm="1">
        <f t="array" ref="O544">_xlfn.IFS(J544="m","Medium",J544="l","Light",J544="d","Dark")</f>
        <v>Medium</v>
      </c>
      <c r="P544" t="str">
        <f>_xlfn.XLOOKUP(orders[[#This Row],[Customer ID]],customers!$A$2:$A$1001,customers!$I$2:$I$1001,,0)</f>
        <v>No</v>
      </c>
    </row>
    <row r="545" spans="1:16" x14ac:dyDescent="0.3">
      <c r="A545" s="2" t="s">
        <v>3559</v>
      </c>
      <c r="B545" s="6">
        <v>44380</v>
      </c>
      <c r="C545" s="2" t="s">
        <v>3560</v>
      </c>
      <c r="D545" t="s">
        <v>6142</v>
      </c>
      <c r="E545" s="2">
        <v>2</v>
      </c>
      <c r="F545" s="2" t="str">
        <f>_xlfn.XLOOKUP(C545,customers!$A$1:$A$1001,customers!$B$1:$B$1001,,0,1)</f>
        <v>Ilaire Sprakes</v>
      </c>
      <c r="G545" s="2" t="str">
        <f>IF((_xlfn.XLOOKUP(C545,customers!$A$2:$A$1001,customers!$C$2:$C$1001,,,)=0),"",(_xlfn.XLOOKUP(C545,customers!$A$2:$A$1001,customers!$C$2:$C$1001,,0,)))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8"/>
        <v>54.969999999999992</v>
      </c>
      <c r="N545" t="str" cm="1">
        <f t="array" ref="N545">_xlfn.IFS(I545="rob","Robusta",I545="exc","Excesla",I545="ara","Arabica",I545="lib","Liberica")</f>
        <v>Robusta</v>
      </c>
      <c r="O545" t="str" cm="1">
        <f t="array" ref="O545">_xlfn.IFS(J545="m","Medium",J545="l","Light",J545="d","Dark")</f>
        <v>Light</v>
      </c>
      <c r="P545" t="str">
        <f>_xlfn.XLOOKUP(orders[[#This Row],[Customer ID]],customers!$A$2:$A$1001,customers!$I$2:$I$1001,,0)</f>
        <v>No</v>
      </c>
    </row>
    <row r="546" spans="1:16" x14ac:dyDescent="0.3">
      <c r="A546" s="2" t="s">
        <v>3565</v>
      </c>
      <c r="B546" s="6">
        <v>43869</v>
      </c>
      <c r="C546" s="2" t="s">
        <v>3566</v>
      </c>
      <c r="D546" t="s">
        <v>6180</v>
      </c>
      <c r="E546" s="2">
        <v>2</v>
      </c>
      <c r="F546" s="2" t="str">
        <f>_xlfn.XLOOKUP(C546,customers!$A$1:$A$1001,customers!$B$1:$B$1001,,0,1)</f>
        <v>Heda Fromant</v>
      </c>
      <c r="G546" s="2" t="str">
        <f>IF((_xlfn.XLOOKUP(C546,customers!$A$2:$A$1001,customers!$C$2:$C$1001,,,)=0),"",(_xlfn.XLOOKUP(C546,customers!$A$2:$A$1001,customers!$C$2:$C$1001,,0,)))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8"/>
        <v>15.54</v>
      </c>
      <c r="N546" t="str" cm="1">
        <f t="array" ref="N546">_xlfn.IFS(I546="rob","Robusta",I546="exc","Excesla",I546="ara","Arabica",I546="lib","Liberica")</f>
        <v>Arabica</v>
      </c>
      <c r="O546" t="str" cm="1">
        <f t="array" ref="O546">_xlfn.IFS(J546="m","Medium",J546="l","Light",J546="d","Dark")</f>
        <v>Light</v>
      </c>
      <c r="P546" t="str">
        <f>_xlfn.XLOOKUP(orders[[#This Row],[Customer ID]],customers!$A$2:$A$1001,customers!$I$2:$I$1001,,0)</f>
        <v>No</v>
      </c>
    </row>
    <row r="547" spans="1:16" x14ac:dyDescent="0.3">
      <c r="A547" s="2" t="s">
        <v>3571</v>
      </c>
      <c r="B547" s="6">
        <v>44120</v>
      </c>
      <c r="C547" s="2" t="s">
        <v>3572</v>
      </c>
      <c r="D547" t="s">
        <v>6150</v>
      </c>
      <c r="E547" s="2">
        <v>4</v>
      </c>
      <c r="F547" s="2" t="str">
        <f>_xlfn.XLOOKUP(C547,customers!$A$1:$A$1001,customers!$B$1:$B$1001,,0,1)</f>
        <v>Rufus Flear</v>
      </c>
      <c r="G547" s="2" t="str">
        <f>IF((_xlfn.XLOOKUP(C547,customers!$A$2:$A$1001,customers!$C$2:$C$1001,,,)=0),"",(_xlfn.XLOOKUP(C547,customers!$A$2:$A$1001,customers!$C$2:$C$1001,,0,)))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8"/>
        <v>15.54</v>
      </c>
      <c r="N547" t="str" cm="1">
        <f t="array" ref="N547">_xlfn.IFS(I547="rob","Robusta",I547="exc","Excesla",I547="ara","Arabica",I547="lib","Liberica")</f>
        <v>Liberica</v>
      </c>
      <c r="O547" t="str" cm="1">
        <f t="array" ref="O547">_xlfn.IFS(J547="m","Medium",J547="l","Light",J547="d","Dark")</f>
        <v>Dark</v>
      </c>
      <c r="P547" t="str">
        <f>_xlfn.XLOOKUP(orders[[#This Row],[Customer ID]],customers!$A$2:$A$1001,customers!$I$2:$I$1001,,0)</f>
        <v>No</v>
      </c>
    </row>
    <row r="548" spans="1:16" x14ac:dyDescent="0.3">
      <c r="A548" s="2" t="s">
        <v>3577</v>
      </c>
      <c r="B548" s="6">
        <v>44127</v>
      </c>
      <c r="C548" s="2" t="s">
        <v>3578</v>
      </c>
      <c r="D548" t="s">
        <v>6185</v>
      </c>
      <c r="E548" s="2">
        <v>3</v>
      </c>
      <c r="F548" s="2" t="str">
        <f>_xlfn.XLOOKUP(C548,customers!$A$1:$A$1001,customers!$B$1:$B$1001,,0,1)</f>
        <v>Dom Milella</v>
      </c>
      <c r="G548" s="2" t="str">
        <f>IF((_xlfn.XLOOKUP(C548,customers!$A$2:$A$1001,customers!$C$2:$C$1001,,,)=0),"",(_xlfn.XLOOKUP(C548,customers!$A$2:$A$1001,customers!$C$2:$C$1001,,0,)))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8"/>
        <v>83.835000000000008</v>
      </c>
      <c r="N548" t="str" cm="1">
        <f t="array" ref="N548">_xlfn.IFS(I548="rob","Robusta",I548="exc","Excesla",I548="ara","Arabica",I548="lib","Liberica")</f>
        <v>Excesla</v>
      </c>
      <c r="O548" t="str" cm="1">
        <f t="array" ref="O548">_xlfn.IFS(J548="m","Medium",J548="l","Light",J548="d","Dark")</f>
        <v>Dark</v>
      </c>
      <c r="P548" t="str">
        <f>_xlfn.XLOOKUP(orders[[#This Row],[Customer ID]],customers!$A$2:$A$1001,customers!$I$2:$I$1001,,0)</f>
        <v>No</v>
      </c>
    </row>
    <row r="549" spans="1:16" x14ac:dyDescent="0.3">
      <c r="A549" s="2" t="s">
        <v>3582</v>
      </c>
      <c r="B549" s="6">
        <v>44265</v>
      </c>
      <c r="C549" s="2" t="s">
        <v>3594</v>
      </c>
      <c r="D549" t="s">
        <v>6178</v>
      </c>
      <c r="E549" s="2">
        <v>3</v>
      </c>
      <c r="F549" s="2" t="str">
        <f>_xlfn.XLOOKUP(C549,customers!$A$1:$A$1001,customers!$B$1:$B$1001,,0,1)</f>
        <v>Wilek Lightollers</v>
      </c>
      <c r="G549" s="2" t="str">
        <f>IF((_xlfn.XLOOKUP(C549,customers!$A$2:$A$1001,customers!$C$2:$C$1001,,,)=0),"",(_xlfn.XLOOKUP(C549,customers!$A$2:$A$1001,customers!$C$2:$C$1001,,0,)))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8"/>
        <v>10.754999999999999</v>
      </c>
      <c r="N549" t="str" cm="1">
        <f t="array" ref="N549">_xlfn.IFS(I549="rob","Robusta",I549="exc","Excesla",I549="ara","Arabica",I549="lib","Liberica")</f>
        <v>Robusta</v>
      </c>
      <c r="O549" t="str" cm="1">
        <f t="array" ref="O549">_xlfn.IFS(J549="m","Medium",J549="l","Light",J549="d","Dark")</f>
        <v>Light</v>
      </c>
      <c r="P549" t="str">
        <f>_xlfn.XLOOKUP(orders[[#This Row],[Customer ID]],customers!$A$2:$A$1001,customers!$I$2:$I$1001,,0)</f>
        <v>Yes</v>
      </c>
    </row>
    <row r="550" spans="1:16" x14ac:dyDescent="0.3">
      <c r="A550" s="2" t="s">
        <v>3587</v>
      </c>
      <c r="B550" s="6">
        <v>44384</v>
      </c>
      <c r="C550" s="2" t="s">
        <v>3588</v>
      </c>
      <c r="D550" t="s">
        <v>6184</v>
      </c>
      <c r="E550" s="2">
        <v>3</v>
      </c>
      <c r="F550" s="2" t="str">
        <f>_xlfn.XLOOKUP(C550,customers!$A$1:$A$1001,customers!$B$1:$B$1001,,0,1)</f>
        <v>Bette-ann Munden</v>
      </c>
      <c r="G550" s="2" t="str">
        <f>IF((_xlfn.XLOOKUP(C550,customers!$A$2:$A$1001,customers!$C$2:$C$1001,,,)=0),"",(_xlfn.XLOOKUP(C550,customers!$A$2:$A$1001,customers!$C$2:$C$1001,,0,)))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8"/>
        <v>13.365</v>
      </c>
      <c r="N550" t="str" cm="1">
        <f t="array" ref="N550">_xlfn.IFS(I550="rob","Robusta",I550="exc","Excesla",I550="ara","Arabica",I550="lib","Liberica")</f>
        <v>Excesla</v>
      </c>
      <c r="O550" t="str" cm="1">
        <f t="array" ref="O550">_xlfn.IFS(J550="m","Medium",J550="l","Light",J550="d","Dark")</f>
        <v>Light</v>
      </c>
      <c r="P550" t="str">
        <f>_xlfn.XLOOKUP(orders[[#This Row],[Customer ID]],customers!$A$2:$A$1001,customers!$I$2:$I$1001,,0)</f>
        <v>Yes</v>
      </c>
    </row>
    <row r="551" spans="1:16" x14ac:dyDescent="0.3">
      <c r="A551" s="2" t="s">
        <v>3593</v>
      </c>
      <c r="B551" s="6">
        <v>44232</v>
      </c>
      <c r="C551" s="2" t="s">
        <v>3594</v>
      </c>
      <c r="D551" t="s">
        <v>6184</v>
      </c>
      <c r="E551" s="2">
        <v>4</v>
      </c>
      <c r="F551" s="2" t="str">
        <f>_xlfn.XLOOKUP(C551,customers!$A$1:$A$1001,customers!$B$1:$B$1001,,0,1)</f>
        <v>Wilek Lightollers</v>
      </c>
      <c r="G551" s="2" t="str">
        <f>IF((_xlfn.XLOOKUP(C551,customers!$A$2:$A$1001,customers!$C$2:$C$1001,,,)=0),"",(_xlfn.XLOOKUP(C551,customers!$A$2:$A$1001,customers!$C$2:$C$1001,,0,)))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8"/>
        <v>17.82</v>
      </c>
      <c r="N551" t="str" cm="1">
        <f t="array" ref="N551">_xlfn.IFS(I551="rob","Robusta",I551="exc","Excesla",I551="ara","Arabica",I551="lib","Liberica")</f>
        <v>Excesla</v>
      </c>
      <c r="O551" t="str" cm="1">
        <f t="array" ref="O551">_xlfn.IFS(J551="m","Medium",J551="l","Light",J551="d","Dark")</f>
        <v>Light</v>
      </c>
      <c r="P551" t="str">
        <f>_xlfn.XLOOKUP(orders[[#This Row],[Customer ID]],customers!$A$2:$A$1001,customers!$I$2:$I$1001,,0)</f>
        <v>Yes</v>
      </c>
    </row>
    <row r="552" spans="1:16" x14ac:dyDescent="0.3">
      <c r="A552" s="2" t="s">
        <v>3599</v>
      </c>
      <c r="B552" s="6">
        <v>44176</v>
      </c>
      <c r="C552" s="2" t="s">
        <v>3600</v>
      </c>
      <c r="D552" t="s">
        <v>6150</v>
      </c>
      <c r="E552" s="2">
        <v>6</v>
      </c>
      <c r="F552" s="2" t="str">
        <f>_xlfn.XLOOKUP(C552,customers!$A$1:$A$1001,customers!$B$1:$B$1001,,0,1)</f>
        <v>Nick Brakespear</v>
      </c>
      <c r="G552" s="2" t="str">
        <f>IF((_xlfn.XLOOKUP(C552,customers!$A$2:$A$1001,customers!$C$2:$C$1001,,,)=0),"",(_xlfn.XLOOKUP(C552,customers!$A$2:$A$1001,customers!$C$2:$C$1001,,0,)))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8"/>
        <v>23.31</v>
      </c>
      <c r="N552" t="str" cm="1">
        <f t="array" ref="N552">_xlfn.IFS(I552="rob","Robusta",I552="exc","Excesla",I552="ara","Arabica",I552="lib","Liberica")</f>
        <v>Liberica</v>
      </c>
      <c r="O552" t="str" cm="1">
        <f t="array" ref="O552">_xlfn.IFS(J552="m","Medium",J552="l","Light",J552="d","Dark")</f>
        <v>Dark</v>
      </c>
      <c r="P552" t="str">
        <f>_xlfn.XLOOKUP(orders[[#This Row],[Customer ID]],customers!$A$2:$A$1001,customers!$I$2:$I$1001,,0)</f>
        <v>Yes</v>
      </c>
    </row>
    <row r="553" spans="1:16" x14ac:dyDescent="0.3">
      <c r="A553" s="2" t="s">
        <v>3605</v>
      </c>
      <c r="B553" s="6">
        <v>44694</v>
      </c>
      <c r="C553" s="2" t="s">
        <v>3606</v>
      </c>
      <c r="D553" t="s">
        <v>6153</v>
      </c>
      <c r="E553" s="2">
        <v>2</v>
      </c>
      <c r="F553" s="2" t="str">
        <f>_xlfn.XLOOKUP(C553,customers!$A$1:$A$1001,customers!$B$1:$B$1001,,0,1)</f>
        <v>Malynda Glawsop</v>
      </c>
      <c r="G553" s="2" t="str">
        <f>IF((_xlfn.XLOOKUP(C553,customers!$A$2:$A$1001,customers!$C$2:$C$1001,,,)=0),"",(_xlfn.XLOOKUP(C553,customers!$A$2:$A$1001,customers!$C$2:$C$1001,,0,)))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8"/>
        <v>7.29</v>
      </c>
      <c r="N553" t="str" cm="1">
        <f t="array" ref="N553">_xlfn.IFS(I553="rob","Robusta",I553="exc","Excesla",I553="ara","Arabica",I553="lib","Liberica")</f>
        <v>Excesla</v>
      </c>
      <c r="O553" t="str" cm="1">
        <f t="array" ref="O553">_xlfn.IFS(J553="m","Medium",J553="l","Light",J553="d","Dark")</f>
        <v>Dark</v>
      </c>
      <c r="P553" t="str">
        <f>_xlfn.XLOOKUP(orders[[#This Row],[Customer ID]],customers!$A$2:$A$1001,customers!$I$2:$I$1001,,0)</f>
        <v>No</v>
      </c>
    </row>
    <row r="554" spans="1:16" x14ac:dyDescent="0.3">
      <c r="A554" s="2" t="s">
        <v>3611</v>
      </c>
      <c r="B554" s="6">
        <v>43761</v>
      </c>
      <c r="C554" s="2" t="s">
        <v>3612</v>
      </c>
      <c r="D554" t="s">
        <v>6184</v>
      </c>
      <c r="E554" s="2">
        <v>4</v>
      </c>
      <c r="F554" s="2" t="str">
        <f>_xlfn.XLOOKUP(C554,customers!$A$1:$A$1001,customers!$B$1:$B$1001,,0,1)</f>
        <v>Granville Alberts</v>
      </c>
      <c r="G554" s="2" t="str">
        <f>IF((_xlfn.XLOOKUP(C554,customers!$A$2:$A$1001,customers!$C$2:$C$1001,,,)=0),"",(_xlfn.XLOOKUP(C554,customers!$A$2:$A$1001,customers!$C$2:$C$1001,,0,)))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8"/>
        <v>17.82</v>
      </c>
      <c r="N554" t="str" cm="1">
        <f t="array" ref="N554">_xlfn.IFS(I554="rob","Robusta",I554="exc","Excesla",I554="ara","Arabica",I554="lib","Liberica")</f>
        <v>Excesla</v>
      </c>
      <c r="O554" t="str" cm="1">
        <f t="array" ref="O554">_xlfn.IFS(J554="m","Medium",J554="l","Light",J554="d","Dark")</f>
        <v>Light</v>
      </c>
      <c r="P554" t="str">
        <f>_xlfn.XLOOKUP(orders[[#This Row],[Customer ID]],customers!$A$2:$A$1001,customers!$I$2:$I$1001,,0)</f>
        <v>Yes</v>
      </c>
    </row>
    <row r="555" spans="1:16" x14ac:dyDescent="0.3">
      <c r="A555" s="2" t="s">
        <v>3617</v>
      </c>
      <c r="B555" s="6">
        <v>44085</v>
      </c>
      <c r="C555" s="2" t="s">
        <v>3618</v>
      </c>
      <c r="D555" t="s">
        <v>6141</v>
      </c>
      <c r="E555" s="2">
        <v>5</v>
      </c>
      <c r="F555" s="2" t="str">
        <f>_xlfn.XLOOKUP(C555,customers!$A$1:$A$1001,customers!$B$1:$B$1001,,0,1)</f>
        <v>Vasily Polglase</v>
      </c>
      <c r="G555" s="2" t="str">
        <f>IF((_xlfn.XLOOKUP(C555,customers!$A$2:$A$1001,customers!$C$2:$C$1001,,,)=0),"",(_xlfn.XLOOKUP(C555,customers!$A$2:$A$1001,customers!$C$2:$C$1001,,0,)))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8"/>
        <v>68.75</v>
      </c>
      <c r="N555" t="str" cm="1">
        <f t="array" ref="N555">_xlfn.IFS(I555="rob","Robusta",I555="exc","Excesla",I555="ara","Arabica",I555="lib","Liberica")</f>
        <v>Excesla</v>
      </c>
      <c r="O555" t="str" cm="1">
        <f t="array" ref="O555">_xlfn.IFS(J555="m","Medium",J555="l","Light",J555="d","Dark")</f>
        <v>Medium</v>
      </c>
      <c r="P555" t="str">
        <f>_xlfn.XLOOKUP(orders[[#This Row],[Customer ID]],customers!$A$2:$A$1001,customers!$I$2:$I$1001,,0)</f>
        <v>No</v>
      </c>
    </row>
    <row r="556" spans="1:16" x14ac:dyDescent="0.3">
      <c r="A556" s="2" t="s">
        <v>3622</v>
      </c>
      <c r="B556" s="6">
        <v>43737</v>
      </c>
      <c r="C556" s="2" t="s">
        <v>3623</v>
      </c>
      <c r="D556" t="s">
        <v>6142</v>
      </c>
      <c r="E556" s="2">
        <v>2</v>
      </c>
      <c r="F556" s="2" t="str">
        <f>_xlfn.XLOOKUP(C556,customers!$A$1:$A$1001,customers!$B$1:$B$1001,,0,1)</f>
        <v>Madelaine Sharples</v>
      </c>
      <c r="G556" s="2" t="str">
        <f>IF((_xlfn.XLOOKUP(C556,customers!$A$2:$A$1001,customers!$C$2:$C$1001,,,)=0),"",(_xlfn.XLOOKUP(C556,customers!$A$2:$A$1001,customers!$C$2:$C$1001,,0,)))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8"/>
        <v>54.969999999999992</v>
      </c>
      <c r="N556" t="str" cm="1">
        <f t="array" ref="N556">_xlfn.IFS(I556="rob","Robusta",I556="exc","Excesla",I556="ara","Arabica",I556="lib","Liberica")</f>
        <v>Robusta</v>
      </c>
      <c r="O556" t="str" cm="1">
        <f t="array" ref="O556">_xlfn.IFS(J556="m","Medium",J556="l","Light",J556="d","Dark")</f>
        <v>Light</v>
      </c>
      <c r="P556" t="str">
        <f>_xlfn.XLOOKUP(orders[[#This Row],[Customer ID]],customers!$A$2:$A$1001,customers!$I$2:$I$1001,,0)</f>
        <v>Yes</v>
      </c>
    </row>
    <row r="557" spans="1:16" x14ac:dyDescent="0.3">
      <c r="A557" s="2" t="s">
        <v>3627</v>
      </c>
      <c r="B557" s="6">
        <v>44258</v>
      </c>
      <c r="C557" s="2" t="s">
        <v>3628</v>
      </c>
      <c r="D557" t="s">
        <v>6141</v>
      </c>
      <c r="E557" s="2">
        <v>6</v>
      </c>
      <c r="F557" s="2" t="str">
        <f>_xlfn.XLOOKUP(C557,customers!$A$1:$A$1001,customers!$B$1:$B$1001,,0,1)</f>
        <v>Sigfrid Busch</v>
      </c>
      <c r="G557" s="2" t="str">
        <f>IF((_xlfn.XLOOKUP(C557,customers!$A$2:$A$1001,customers!$C$2:$C$1001,,,)=0),"",(_xlfn.XLOOKUP(C557,customers!$A$2:$A$1001,customers!$C$2:$C$1001,,0,)))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8"/>
        <v>82.5</v>
      </c>
      <c r="N557" t="str" cm="1">
        <f t="array" ref="N557">_xlfn.IFS(I557="rob","Robusta",I557="exc","Excesla",I557="ara","Arabica",I557="lib","Liberica")</f>
        <v>Excesla</v>
      </c>
      <c r="O557" t="str" cm="1">
        <f t="array" ref="O557">_xlfn.IFS(J557="m","Medium",J557="l","Light",J557="d","Dark")</f>
        <v>Medium</v>
      </c>
      <c r="P557" t="str">
        <f>_xlfn.XLOOKUP(orders[[#This Row],[Customer ID]],customers!$A$2:$A$1001,customers!$I$2:$I$1001,,0)</f>
        <v>No</v>
      </c>
    </row>
    <row r="558" spans="1:16" x14ac:dyDescent="0.3">
      <c r="A558" s="2" t="s">
        <v>3633</v>
      </c>
      <c r="B558" s="6">
        <v>44523</v>
      </c>
      <c r="C558" s="2" t="s">
        <v>3634</v>
      </c>
      <c r="D558" t="s">
        <v>6159</v>
      </c>
      <c r="E558" s="2">
        <v>2</v>
      </c>
      <c r="F558" s="2" t="str">
        <f>_xlfn.XLOOKUP(C558,customers!$A$1:$A$1001,customers!$B$1:$B$1001,,0,1)</f>
        <v>Cissiee Raisbeck</v>
      </c>
      <c r="G558" s="2" t="str">
        <f>IF((_xlfn.XLOOKUP(C558,customers!$A$2:$A$1001,customers!$C$2:$C$1001,,,)=0),"",(_xlfn.XLOOKUP(C558,customers!$A$2:$A$1001,customers!$C$2:$C$1001,,0,)))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8"/>
        <v>8.73</v>
      </c>
      <c r="N558" t="str" cm="1">
        <f t="array" ref="N558">_xlfn.IFS(I558="rob","Robusta",I558="exc","Excesla",I558="ara","Arabica",I558="lib","Liberica")</f>
        <v>Liberica</v>
      </c>
      <c r="O558" t="str" cm="1">
        <f t="array" ref="O558">_xlfn.IFS(J558="m","Medium",J558="l","Light",J558="d","Dark")</f>
        <v>Medium</v>
      </c>
      <c r="P558" t="str">
        <f>_xlfn.XLOOKUP(orders[[#This Row],[Customer ID]],customers!$A$2:$A$1001,customers!$I$2:$I$1001,,0)</f>
        <v>Yes</v>
      </c>
    </row>
    <row r="559" spans="1:16" x14ac:dyDescent="0.3">
      <c r="A559" s="2" t="s">
        <v>3638</v>
      </c>
      <c r="B559" s="6">
        <v>44506</v>
      </c>
      <c r="C559" s="2" t="s">
        <v>3368</v>
      </c>
      <c r="D559" t="s">
        <v>6171</v>
      </c>
      <c r="E559" s="2">
        <v>4</v>
      </c>
      <c r="F559" s="2" t="str">
        <f>_xlfn.XLOOKUP(C559,customers!$A$1:$A$1001,customers!$B$1:$B$1001,,0,1)</f>
        <v>Marja Urion</v>
      </c>
      <c r="G559" s="2" t="str">
        <f>IF((_xlfn.XLOOKUP(C559,customers!$A$2:$A$1001,customers!$C$2:$C$1001,,,)=0),"",(_xlfn.XLOOKUP(C559,customers!$A$2:$A$1001,customers!$C$2:$C$1001,,0,)))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8"/>
        <v>59.4</v>
      </c>
      <c r="N559" t="str" cm="1">
        <f t="array" ref="N559">_xlfn.IFS(I559="rob","Robusta",I559="exc","Excesla",I559="ara","Arabica",I559="lib","Liberica")</f>
        <v>Excesla</v>
      </c>
      <c r="O559" t="str" cm="1">
        <f t="array" ref="O559">_xlfn.IFS(J559="m","Medium",J559="l","Light",J559="d","Dark")</f>
        <v>Light</v>
      </c>
      <c r="P559" t="str">
        <f>_xlfn.XLOOKUP(orders[[#This Row],[Customer ID]],customers!$A$2:$A$1001,customers!$I$2:$I$1001,,0)</f>
        <v>Yes</v>
      </c>
    </row>
    <row r="560" spans="1:16" x14ac:dyDescent="0.3">
      <c r="A560" s="2" t="s">
        <v>3643</v>
      </c>
      <c r="B560" s="6">
        <v>44225</v>
      </c>
      <c r="C560" s="2" t="s">
        <v>3644</v>
      </c>
      <c r="D560" t="s">
        <v>6150</v>
      </c>
      <c r="E560" s="2">
        <v>4</v>
      </c>
      <c r="F560" s="2" t="str">
        <f>_xlfn.XLOOKUP(C560,customers!$A$1:$A$1001,customers!$B$1:$B$1001,,0,1)</f>
        <v>Kenton Wetherick</v>
      </c>
      <c r="G560" s="2" t="str">
        <f>IF((_xlfn.XLOOKUP(C560,customers!$A$2:$A$1001,customers!$C$2:$C$1001,,,)=0),"",(_xlfn.XLOOKUP(C560,customers!$A$2:$A$1001,customers!$C$2:$C$1001,,0,)))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8"/>
        <v>15.54</v>
      </c>
      <c r="N560" t="str" cm="1">
        <f t="array" ref="N560">_xlfn.IFS(I560="rob","Robusta",I560="exc","Excesla",I560="ara","Arabica",I560="lib","Liberica")</f>
        <v>Liberica</v>
      </c>
      <c r="O560" t="str" cm="1">
        <f t="array" ref="O560">_xlfn.IFS(J560="m","Medium",J560="l","Light",J560="d","Dark")</f>
        <v>Dark</v>
      </c>
      <c r="P560" t="str">
        <f>_xlfn.XLOOKUP(orders[[#This Row],[Customer ID]],customers!$A$2:$A$1001,customers!$I$2:$I$1001,,0)</f>
        <v>Yes</v>
      </c>
    </row>
    <row r="561" spans="1:16" x14ac:dyDescent="0.3">
      <c r="A561" s="2" t="s">
        <v>3648</v>
      </c>
      <c r="B561" s="6">
        <v>44667</v>
      </c>
      <c r="C561" s="2" t="s">
        <v>3649</v>
      </c>
      <c r="D561" t="s">
        <v>6140</v>
      </c>
      <c r="E561" s="2">
        <v>3</v>
      </c>
      <c r="F561" s="2" t="str">
        <f>_xlfn.XLOOKUP(C561,customers!$A$1:$A$1001,customers!$B$1:$B$1001,,0,1)</f>
        <v>Reamonn Aynold</v>
      </c>
      <c r="G561" s="2" t="str">
        <f>IF((_xlfn.XLOOKUP(C561,customers!$A$2:$A$1001,customers!$C$2:$C$1001,,,)=0),"",(_xlfn.XLOOKUP(C561,customers!$A$2:$A$1001,customers!$C$2:$C$1001,,0,)))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8"/>
        <v>38.849999999999994</v>
      </c>
      <c r="N561" t="str" cm="1">
        <f t="array" ref="N561">_xlfn.IFS(I561="rob","Robusta",I561="exc","Excesla",I561="ara","Arabica",I561="lib","Liberica")</f>
        <v>Arabica</v>
      </c>
      <c r="O561" t="str" cm="1">
        <f t="array" ref="O561">_xlfn.IFS(J561="m","Medium",J561="l","Light",J561="d","Dark")</f>
        <v>Light</v>
      </c>
      <c r="P561" t="str">
        <f>_xlfn.XLOOKUP(orders[[#This Row],[Customer ID]],customers!$A$2:$A$1001,customers!$I$2:$I$1001,,0)</f>
        <v>Yes</v>
      </c>
    </row>
    <row r="562" spans="1:16" x14ac:dyDescent="0.3">
      <c r="A562" s="2" t="s">
        <v>3654</v>
      </c>
      <c r="B562" s="6">
        <v>44401</v>
      </c>
      <c r="C562" s="2" t="s">
        <v>3655</v>
      </c>
      <c r="D562" t="s">
        <v>6166</v>
      </c>
      <c r="E562" s="2">
        <v>6</v>
      </c>
      <c r="F562" s="2" t="str">
        <f>_xlfn.XLOOKUP(C562,customers!$A$1:$A$1001,customers!$B$1:$B$1001,,0,1)</f>
        <v>Hatty Dovydenas</v>
      </c>
      <c r="G562" s="2" t="str">
        <f>IF((_xlfn.XLOOKUP(C562,customers!$A$2:$A$1001,customers!$C$2:$C$1001,,,)=0),"",(_xlfn.XLOOKUP(C562,customers!$A$2:$A$1001,customers!$C$2:$C$1001,,0,)))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8"/>
        <v>189.74999999999997</v>
      </c>
      <c r="N562" t="str" cm="1">
        <f t="array" ref="N562">_xlfn.IFS(I562="rob","Robusta",I562="exc","Excesla",I562="ara","Arabica",I562="lib","Liberica")</f>
        <v>Excesla</v>
      </c>
      <c r="O562" t="str" cm="1">
        <f t="array" ref="O562">_xlfn.IFS(J562="m","Medium",J562="l","Light",J562="d","Dark")</f>
        <v>Medium</v>
      </c>
      <c r="P562" t="str">
        <f>_xlfn.XLOOKUP(orders[[#This Row],[Customer ID]],customers!$A$2:$A$1001,customers!$I$2:$I$1001,,0)</f>
        <v>Yes</v>
      </c>
    </row>
    <row r="563" spans="1:16" x14ac:dyDescent="0.3">
      <c r="A563" s="2" t="s">
        <v>3659</v>
      </c>
      <c r="B563" s="6">
        <v>43688</v>
      </c>
      <c r="C563" s="2" t="s">
        <v>3660</v>
      </c>
      <c r="D563" t="s">
        <v>6154</v>
      </c>
      <c r="E563" s="2">
        <v>6</v>
      </c>
      <c r="F563" s="2" t="str">
        <f>_xlfn.XLOOKUP(C563,customers!$A$1:$A$1001,customers!$B$1:$B$1001,,0,1)</f>
        <v>Nathaniel Bloxland</v>
      </c>
      <c r="G563" s="2" t="str">
        <f>IF((_xlfn.XLOOKUP(C563,customers!$A$2:$A$1001,customers!$C$2:$C$1001,,,)=0),"",(_xlfn.XLOOKUP(C563,customers!$A$2:$A$1001,customers!$C$2:$C$1001,,0,)))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8"/>
        <v>17.91</v>
      </c>
      <c r="N563" t="str" cm="1">
        <f t="array" ref="N563">_xlfn.IFS(I563="rob","Robusta",I563="exc","Excesla",I563="ara","Arabica",I563="lib","Liberica")</f>
        <v>Arabica</v>
      </c>
      <c r="O563" t="str" cm="1">
        <f t="array" ref="O563">_xlfn.IFS(J563="m","Medium",J563="l","Light",J563="d","Dark")</f>
        <v>Dark</v>
      </c>
      <c r="P563" t="str">
        <f>_xlfn.XLOOKUP(orders[[#This Row],[Customer ID]],customers!$A$2:$A$1001,customers!$I$2:$I$1001,,0)</f>
        <v>Yes</v>
      </c>
    </row>
    <row r="564" spans="1:16" x14ac:dyDescent="0.3">
      <c r="A564" s="2" t="s">
        <v>3665</v>
      </c>
      <c r="B564" s="6">
        <v>43669</v>
      </c>
      <c r="C564" s="2" t="s">
        <v>3666</v>
      </c>
      <c r="D564" t="s">
        <v>6145</v>
      </c>
      <c r="E564" s="2">
        <v>6</v>
      </c>
      <c r="F564" s="2" t="str">
        <f>_xlfn.XLOOKUP(C564,customers!$A$1:$A$1001,customers!$B$1:$B$1001,,0,1)</f>
        <v>Brendan Grece</v>
      </c>
      <c r="G564" s="2" t="str">
        <f>IF((_xlfn.XLOOKUP(C564,customers!$A$2:$A$1001,customers!$C$2:$C$1001,,,)=0),"",(_xlfn.XLOOKUP(C564,customers!$A$2:$A$1001,customers!$C$2:$C$1001,,0,)))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8"/>
        <v>28.53</v>
      </c>
      <c r="N564" t="str" cm="1">
        <f t="array" ref="N564">_xlfn.IFS(I564="rob","Robusta",I564="exc","Excesla",I564="ara","Arabica",I564="lib","Liberica")</f>
        <v>Liberica</v>
      </c>
      <c r="O564" t="str" cm="1">
        <f t="array" ref="O564">_xlfn.IFS(J564="m","Medium",J564="l","Light",J564="d","Dark")</f>
        <v>Light</v>
      </c>
      <c r="P564" t="str">
        <f>_xlfn.XLOOKUP(orders[[#This Row],[Customer ID]],customers!$A$2:$A$1001,customers!$I$2:$I$1001,,0)</f>
        <v>No</v>
      </c>
    </row>
    <row r="565" spans="1:16" x14ac:dyDescent="0.3">
      <c r="A565" s="2" t="s">
        <v>3671</v>
      </c>
      <c r="B565" s="6">
        <v>43991</v>
      </c>
      <c r="C565" s="2" t="s">
        <v>3752</v>
      </c>
      <c r="D565" t="s">
        <v>6141</v>
      </c>
      <c r="E565" s="2">
        <v>6</v>
      </c>
      <c r="F565" s="2" t="str">
        <f>_xlfn.XLOOKUP(C565,customers!$A$1:$A$1001,customers!$B$1:$B$1001,,0,1)</f>
        <v>Don Flintiff</v>
      </c>
      <c r="G565" s="2" t="str">
        <f>IF((_xlfn.XLOOKUP(C565,customers!$A$2:$A$1001,customers!$C$2:$C$1001,,,)=0),"",(_xlfn.XLOOKUP(C565,customers!$A$2:$A$1001,customers!$C$2:$C$1001,,0,)))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8"/>
        <v>82.5</v>
      </c>
      <c r="N565" t="str" cm="1">
        <f t="array" ref="N565">_xlfn.IFS(I565="rob","Robusta",I565="exc","Excesla",I565="ara","Arabica",I565="lib","Liberica")</f>
        <v>Excesla</v>
      </c>
      <c r="O565" t="str" cm="1">
        <f t="array" ref="O565">_xlfn.IFS(J565="m","Medium",J565="l","Light",J565="d","Dark")</f>
        <v>Medium</v>
      </c>
      <c r="P565" t="str">
        <f>_xlfn.XLOOKUP(orders[[#This Row],[Customer ID]],customers!$A$2:$A$1001,customers!$I$2:$I$1001,,0)</f>
        <v>No</v>
      </c>
    </row>
    <row r="566" spans="1:16" x14ac:dyDescent="0.3">
      <c r="A566" s="2" t="s">
        <v>3677</v>
      </c>
      <c r="B566" s="6">
        <v>43883</v>
      </c>
      <c r="C566" s="2" t="s">
        <v>3678</v>
      </c>
      <c r="D566" t="s">
        <v>6173</v>
      </c>
      <c r="E566" s="2">
        <v>2</v>
      </c>
      <c r="F566" s="2" t="str">
        <f>_xlfn.XLOOKUP(C566,customers!$A$1:$A$1001,customers!$B$1:$B$1001,,0,1)</f>
        <v>Abbe Thys</v>
      </c>
      <c r="G566" s="2" t="str">
        <f>IF((_xlfn.XLOOKUP(C566,customers!$A$2:$A$1001,customers!$C$2:$C$1001,,,)=0),"",(_xlfn.XLOOKUP(C566,customers!$A$2:$A$1001,customers!$C$2:$C$1001,,0,)))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8"/>
        <v>14.339999999999998</v>
      </c>
      <c r="N566" t="str" cm="1">
        <f t="array" ref="N566">_xlfn.IFS(I566="rob","Robusta",I566="exc","Excesla",I566="ara","Arabica",I566="lib","Liberica")</f>
        <v>Robusta</v>
      </c>
      <c r="O566" t="str" cm="1">
        <f t="array" ref="O566">_xlfn.IFS(J566="m","Medium",J566="l","Light",J566="d","Dark")</f>
        <v>Light</v>
      </c>
      <c r="P566" t="str">
        <f>_xlfn.XLOOKUP(orders[[#This Row],[Customer ID]],customers!$A$2:$A$1001,customers!$I$2:$I$1001,,0)</f>
        <v>No</v>
      </c>
    </row>
    <row r="567" spans="1:16" x14ac:dyDescent="0.3">
      <c r="A567" s="2" t="s">
        <v>3683</v>
      </c>
      <c r="B567" s="6">
        <v>44031</v>
      </c>
      <c r="C567" s="2" t="s">
        <v>3684</v>
      </c>
      <c r="D567" t="s">
        <v>6149</v>
      </c>
      <c r="E567" s="2">
        <v>4</v>
      </c>
      <c r="F567" s="2" t="str">
        <f>_xlfn.XLOOKUP(C567,customers!$A$1:$A$1001,customers!$B$1:$B$1001,,0,1)</f>
        <v>Jackquelin Chugg</v>
      </c>
      <c r="G567" s="2" t="str">
        <f>IF((_xlfn.XLOOKUP(C567,customers!$A$2:$A$1001,customers!$C$2:$C$1001,,,)=0),"",(_xlfn.XLOOKUP(C567,customers!$A$2:$A$1001,customers!$C$2:$C$1001,,0,)))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8"/>
        <v>82.339999999999989</v>
      </c>
      <c r="N567" t="str" cm="1">
        <f t="array" ref="N567">_xlfn.IFS(I567="rob","Robusta",I567="exc","Excesla",I567="ara","Arabica",I567="lib","Liberica")</f>
        <v>Robusta</v>
      </c>
      <c r="O567" t="str" cm="1">
        <f t="array" ref="O567">_xlfn.IFS(J567="m","Medium",J567="l","Light",J567="d","Dark")</f>
        <v>Dark</v>
      </c>
      <c r="P567" t="str">
        <f>_xlfn.XLOOKUP(orders[[#This Row],[Customer ID]],customers!$A$2:$A$1001,customers!$I$2:$I$1001,,0)</f>
        <v>No</v>
      </c>
    </row>
    <row r="568" spans="1:16" x14ac:dyDescent="0.3">
      <c r="A568" s="2" t="s">
        <v>3689</v>
      </c>
      <c r="B568" s="6">
        <v>44459</v>
      </c>
      <c r="C568" s="2" t="s">
        <v>3690</v>
      </c>
      <c r="D568" t="s">
        <v>6152</v>
      </c>
      <c r="E568" s="2">
        <v>6</v>
      </c>
      <c r="F568" s="2" t="str">
        <f>_xlfn.XLOOKUP(C568,customers!$A$1:$A$1001,customers!$B$1:$B$1001,,0,1)</f>
        <v>Audra Kelston</v>
      </c>
      <c r="G568" s="2" t="str">
        <f>IF((_xlfn.XLOOKUP(C568,customers!$A$2:$A$1001,customers!$C$2:$C$1001,,,)=0),"",(_xlfn.XLOOKUP(C568,customers!$A$2:$A$1001,customers!$C$2:$C$1001,,0,)))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8"/>
        <v>20.25</v>
      </c>
      <c r="N568" t="str" cm="1">
        <f t="array" ref="N568">_xlfn.IFS(I568="rob","Robusta",I568="exc","Excesla",I568="ara","Arabica",I568="lib","Liberica")</f>
        <v>Arabica</v>
      </c>
      <c r="O568" t="str" cm="1">
        <f t="array" ref="O568">_xlfn.IFS(J568="m","Medium",J568="l","Light",J568="d","Dark")</f>
        <v>Medium</v>
      </c>
      <c r="P568" t="str">
        <f>_xlfn.XLOOKUP(orders[[#This Row],[Customer ID]],customers!$A$2:$A$1001,customers!$I$2:$I$1001,,0)</f>
        <v>Yes</v>
      </c>
    </row>
    <row r="569" spans="1:16" x14ac:dyDescent="0.3">
      <c r="A569" s="2" t="s">
        <v>3695</v>
      </c>
      <c r="B569" s="6">
        <v>44318</v>
      </c>
      <c r="C569" s="2" t="s">
        <v>3696</v>
      </c>
      <c r="D569" t="s">
        <v>6142</v>
      </c>
      <c r="E569" s="2">
        <v>6</v>
      </c>
      <c r="F569" s="2" t="str">
        <f>_xlfn.XLOOKUP(C569,customers!$A$1:$A$1001,customers!$B$1:$B$1001,,0,1)</f>
        <v>Elvina Angel</v>
      </c>
      <c r="G569" s="2" t="str">
        <f>IF((_xlfn.XLOOKUP(C569,customers!$A$2:$A$1001,customers!$C$2:$C$1001,,,)=0),"",(_xlfn.XLOOKUP(C569,customers!$A$2:$A$1001,customers!$C$2:$C$1001,,0,)))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8"/>
        <v>164.90999999999997</v>
      </c>
      <c r="N569" t="str" cm="1">
        <f t="array" ref="N569">_xlfn.IFS(I569="rob","Robusta",I569="exc","Excesla",I569="ara","Arabica",I569="lib","Liberica")</f>
        <v>Robusta</v>
      </c>
      <c r="O569" t="str" cm="1">
        <f t="array" ref="O569">_xlfn.IFS(J569="m","Medium",J569="l","Light",J569="d","Dark")</f>
        <v>Light</v>
      </c>
      <c r="P569" t="str">
        <f>_xlfn.XLOOKUP(orders[[#This Row],[Customer ID]],customers!$A$2:$A$1001,customers!$I$2:$I$1001,,0)</f>
        <v>No</v>
      </c>
    </row>
    <row r="570" spans="1:16" x14ac:dyDescent="0.3">
      <c r="A570" s="2" t="s">
        <v>3700</v>
      </c>
      <c r="B570" s="6">
        <v>44526</v>
      </c>
      <c r="C570" s="2" t="s">
        <v>3701</v>
      </c>
      <c r="D570" t="s">
        <v>6145</v>
      </c>
      <c r="E570" s="2">
        <v>4</v>
      </c>
      <c r="F570" s="2" t="str">
        <f>_xlfn.XLOOKUP(C570,customers!$A$1:$A$1001,customers!$B$1:$B$1001,,0,1)</f>
        <v>Claiborne Mottram</v>
      </c>
      <c r="G570" s="2" t="str">
        <f>IF((_xlfn.XLOOKUP(C570,customers!$A$2:$A$1001,customers!$C$2:$C$1001,,,)=0),"",(_xlfn.XLOOKUP(C570,customers!$A$2:$A$1001,customers!$C$2:$C$1001,,0,)))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8"/>
        <v>19.02</v>
      </c>
      <c r="N570" t="str" cm="1">
        <f t="array" ref="N570">_xlfn.IFS(I570="rob","Robusta",I570="exc","Excesla",I570="ara","Arabica",I570="lib","Liberica")</f>
        <v>Liberica</v>
      </c>
      <c r="O570" t="str" cm="1">
        <f t="array" ref="O570">_xlfn.IFS(J570="m","Medium",J570="l","Light",J570="d","Dark")</f>
        <v>Light</v>
      </c>
      <c r="P570" t="str">
        <f>_xlfn.XLOOKUP(orders[[#This Row],[Customer ID]],customers!$A$2:$A$1001,customers!$I$2:$I$1001,,0)</f>
        <v>Yes</v>
      </c>
    </row>
    <row r="571" spans="1:16" x14ac:dyDescent="0.3">
      <c r="A571" s="2" t="s">
        <v>3706</v>
      </c>
      <c r="B571" s="6">
        <v>43879</v>
      </c>
      <c r="C571" s="2" t="s">
        <v>3752</v>
      </c>
      <c r="D571" t="s">
        <v>6168</v>
      </c>
      <c r="E571" s="2">
        <v>6</v>
      </c>
      <c r="F571" s="2" t="str">
        <f>_xlfn.XLOOKUP(C571,customers!$A$1:$A$1001,customers!$B$1:$B$1001,,0,1)</f>
        <v>Don Flintiff</v>
      </c>
      <c r="G571" s="2" t="str">
        <f>IF((_xlfn.XLOOKUP(C571,customers!$A$2:$A$1001,customers!$C$2:$C$1001,,,)=0),"",(_xlfn.XLOOKUP(C571,customers!$A$2:$A$1001,customers!$C$2:$C$1001,,0,)))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8"/>
        <v>137.31</v>
      </c>
      <c r="N571" t="str" cm="1">
        <f t="array" ref="N571">_xlfn.IFS(I571="rob","Robusta",I571="exc","Excesla",I571="ara","Arabica",I571="lib","Liberica")</f>
        <v>Arabica</v>
      </c>
      <c r="O571" t="str" cm="1">
        <f t="array" ref="O571">_xlfn.IFS(J571="m","Medium",J571="l","Light",J571="d","Dark")</f>
        <v>Dark</v>
      </c>
      <c r="P571" t="str">
        <f>_xlfn.XLOOKUP(orders[[#This Row],[Customer ID]],customers!$A$2:$A$1001,customers!$I$2:$I$1001,,0)</f>
        <v>No</v>
      </c>
    </row>
    <row r="572" spans="1:16" x14ac:dyDescent="0.3">
      <c r="A572" s="2" t="s">
        <v>3712</v>
      </c>
      <c r="B572" s="6">
        <v>43928</v>
      </c>
      <c r="C572" s="2" t="s">
        <v>3713</v>
      </c>
      <c r="D572" t="s">
        <v>6157</v>
      </c>
      <c r="E572" s="2">
        <v>4</v>
      </c>
      <c r="F572" s="2" t="str">
        <f>_xlfn.XLOOKUP(C572,customers!$A$1:$A$1001,customers!$B$1:$B$1001,,0,1)</f>
        <v>Donalt Sangwin</v>
      </c>
      <c r="G572" s="2" t="str">
        <f>IF((_xlfn.XLOOKUP(C572,customers!$A$2:$A$1001,customers!$C$2:$C$1001,,,)=0),"",(_xlfn.XLOOKUP(C572,customers!$A$2:$A$1001,customers!$C$2:$C$1001,,0,)))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8"/>
        <v>27</v>
      </c>
      <c r="N572" t="str" cm="1">
        <f t="array" ref="N572">_xlfn.IFS(I572="rob","Robusta",I572="exc","Excesla",I572="ara","Arabica",I572="lib","Liberica")</f>
        <v>Arabica</v>
      </c>
      <c r="O572" t="str" cm="1">
        <f t="array" ref="O572">_xlfn.IFS(J572="m","Medium",J572="l","Light",J572="d","Dark")</f>
        <v>Medium</v>
      </c>
      <c r="P572" t="str">
        <f>_xlfn.XLOOKUP(orders[[#This Row],[Customer ID]],customers!$A$2:$A$1001,customers!$I$2:$I$1001,,0)</f>
        <v>No</v>
      </c>
    </row>
    <row r="573" spans="1:16" x14ac:dyDescent="0.3">
      <c r="A573" s="2" t="s">
        <v>3718</v>
      </c>
      <c r="B573" s="6">
        <v>44592</v>
      </c>
      <c r="C573" s="2" t="s">
        <v>3719</v>
      </c>
      <c r="D573" t="s">
        <v>6176</v>
      </c>
      <c r="E573" s="2">
        <v>4</v>
      </c>
      <c r="F573" s="2" t="str">
        <f>_xlfn.XLOOKUP(C573,customers!$A$1:$A$1001,customers!$B$1:$B$1001,,0,1)</f>
        <v>Elizabet Aizikowitz</v>
      </c>
      <c r="G573" s="2" t="str">
        <f>IF((_xlfn.XLOOKUP(C573,customers!$A$2:$A$1001,customers!$C$2:$C$1001,,,)=0),"",(_xlfn.XLOOKUP(C573,customers!$A$2:$A$1001,customers!$C$2:$C$1001,,0,)))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8"/>
        <v>35.64</v>
      </c>
      <c r="N573" t="str" cm="1">
        <f t="array" ref="N573">_xlfn.IFS(I573="rob","Robusta",I573="exc","Excesla",I573="ara","Arabica",I573="lib","Liberica")</f>
        <v>Excesla</v>
      </c>
      <c r="O573" t="str" cm="1">
        <f t="array" ref="O573">_xlfn.IFS(J573="m","Medium",J573="l","Light",J573="d","Dark")</f>
        <v>Light</v>
      </c>
      <c r="P573" t="str">
        <f>_xlfn.XLOOKUP(orders[[#This Row],[Customer ID]],customers!$A$2:$A$1001,customers!$I$2:$I$1001,,0)</f>
        <v>No</v>
      </c>
    </row>
    <row r="574" spans="1:16" x14ac:dyDescent="0.3">
      <c r="A574" s="2" t="s">
        <v>3724</v>
      </c>
      <c r="B574" s="6">
        <v>43515</v>
      </c>
      <c r="C574" s="2" t="s">
        <v>3725</v>
      </c>
      <c r="D574" t="s">
        <v>6154</v>
      </c>
      <c r="E574" s="2">
        <v>2</v>
      </c>
      <c r="F574" s="2" t="str">
        <f>_xlfn.XLOOKUP(C574,customers!$A$1:$A$1001,customers!$B$1:$B$1001,,0,1)</f>
        <v>Herbie Peppard</v>
      </c>
      <c r="G574" s="2" t="str">
        <f>IF((_xlfn.XLOOKUP(C574,customers!$A$2:$A$1001,customers!$C$2:$C$1001,,,)=0),"",(_xlfn.XLOOKUP(C574,customers!$A$2:$A$1001,customers!$C$2:$C$1001,,0,)))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8"/>
        <v>5.97</v>
      </c>
      <c r="N574" t="str" cm="1">
        <f t="array" ref="N574">_xlfn.IFS(I574="rob","Robusta",I574="exc","Excesla",I574="ara","Arabica",I574="lib","Liberica")</f>
        <v>Arabica</v>
      </c>
      <c r="O574" t="str" cm="1">
        <f t="array" ref="O574">_xlfn.IFS(J574="m","Medium",J574="l","Light",J574="d","Dark")</f>
        <v>Dark</v>
      </c>
      <c r="P574" t="str">
        <f>_xlfn.XLOOKUP(orders[[#This Row],[Customer ID]],customers!$A$2:$A$1001,customers!$I$2:$I$1001,,0)</f>
        <v>Yes</v>
      </c>
    </row>
    <row r="575" spans="1:16" x14ac:dyDescent="0.3">
      <c r="A575" s="2" t="s">
        <v>3728</v>
      </c>
      <c r="B575" s="6">
        <v>43781</v>
      </c>
      <c r="C575" s="2" t="s">
        <v>3729</v>
      </c>
      <c r="D575" t="s">
        <v>6155</v>
      </c>
      <c r="E575" s="2">
        <v>6</v>
      </c>
      <c r="F575" s="2" t="str">
        <f>_xlfn.XLOOKUP(C575,customers!$A$1:$A$1001,customers!$B$1:$B$1001,,0,1)</f>
        <v>Cornie Venour</v>
      </c>
      <c r="G575" s="2" t="str">
        <f>IF((_xlfn.XLOOKUP(C575,customers!$A$2:$A$1001,customers!$C$2:$C$1001,,,)=0),"",(_xlfn.XLOOKUP(C575,customers!$A$2:$A$1001,customers!$C$2:$C$1001,,0,)))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8"/>
        <v>67.5</v>
      </c>
      <c r="N575" t="str" cm="1">
        <f t="array" ref="N575">_xlfn.IFS(I575="rob","Robusta",I575="exc","Excesla",I575="ara","Arabica",I575="lib","Liberica")</f>
        <v>Arabica</v>
      </c>
      <c r="O575" t="str" cm="1">
        <f t="array" ref="O575">_xlfn.IFS(J575="m","Medium",J575="l","Light",J575="d","Dark")</f>
        <v>Medium</v>
      </c>
      <c r="P575" t="str">
        <f>_xlfn.XLOOKUP(orders[[#This Row],[Customer ID]],customers!$A$2:$A$1001,customers!$I$2:$I$1001,,0)</f>
        <v>No</v>
      </c>
    </row>
    <row r="576" spans="1:16" x14ac:dyDescent="0.3">
      <c r="A576" s="2" t="s">
        <v>3734</v>
      </c>
      <c r="B576" s="6">
        <v>44697</v>
      </c>
      <c r="C576" s="2" t="s">
        <v>3735</v>
      </c>
      <c r="D576" t="s">
        <v>6178</v>
      </c>
      <c r="E576" s="2">
        <v>6</v>
      </c>
      <c r="F576" s="2" t="str">
        <f>_xlfn.XLOOKUP(C576,customers!$A$1:$A$1001,customers!$B$1:$B$1001,,0,1)</f>
        <v>Maggy Harby</v>
      </c>
      <c r="G576" s="2" t="str">
        <f>IF((_xlfn.XLOOKUP(C576,customers!$A$2:$A$1001,customers!$C$2:$C$1001,,,)=0),"",(_xlfn.XLOOKUP(C576,customers!$A$2:$A$1001,customers!$C$2:$C$1001,,0,)))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8"/>
        <v>21.509999999999998</v>
      </c>
      <c r="N576" t="str" cm="1">
        <f t="array" ref="N576">_xlfn.IFS(I576="rob","Robusta",I576="exc","Excesla",I576="ara","Arabica",I576="lib","Liberica")</f>
        <v>Robusta</v>
      </c>
      <c r="O576" t="str" cm="1">
        <f t="array" ref="O576">_xlfn.IFS(J576="m","Medium",J576="l","Light",J576="d","Dark")</f>
        <v>Light</v>
      </c>
      <c r="P576" t="str">
        <f>_xlfn.XLOOKUP(orders[[#This Row],[Customer ID]],customers!$A$2:$A$1001,customers!$I$2:$I$1001,,0)</f>
        <v>Yes</v>
      </c>
    </row>
    <row r="577" spans="1:16" x14ac:dyDescent="0.3">
      <c r="A577" s="2" t="s">
        <v>3739</v>
      </c>
      <c r="B577" s="6">
        <v>44239</v>
      </c>
      <c r="C577" s="2" t="s">
        <v>3740</v>
      </c>
      <c r="D577" t="s">
        <v>6181</v>
      </c>
      <c r="E577" s="2">
        <v>2</v>
      </c>
      <c r="F577" s="2" t="str">
        <f>_xlfn.XLOOKUP(C577,customers!$A$1:$A$1001,customers!$B$1:$B$1001,,0,1)</f>
        <v>Reggie Thickpenny</v>
      </c>
      <c r="G577" s="2" t="str">
        <f>IF((_xlfn.XLOOKUP(C577,customers!$A$2:$A$1001,customers!$C$2:$C$1001,,,)=0),"",(_xlfn.XLOOKUP(C577,customers!$A$2:$A$1001,customers!$C$2:$C$1001,,0,)))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8"/>
        <v>66.929999999999993</v>
      </c>
      <c r="N577" t="str" cm="1">
        <f t="array" ref="N577">_xlfn.IFS(I577="rob","Robusta",I577="exc","Excesla",I577="ara","Arabica",I577="lib","Liberica")</f>
        <v>Liberica</v>
      </c>
      <c r="O577" t="str" cm="1">
        <f t="array" ref="O577">_xlfn.IFS(J577="m","Medium",J577="l","Light",J577="d","Dark")</f>
        <v>Medium</v>
      </c>
      <c r="P577" t="str">
        <f>_xlfn.XLOOKUP(orders[[#This Row],[Customer ID]],customers!$A$2:$A$1001,customers!$I$2:$I$1001,,0)</f>
        <v>No</v>
      </c>
    </row>
    <row r="578" spans="1:16" x14ac:dyDescent="0.3">
      <c r="A578" s="2" t="s">
        <v>3745</v>
      </c>
      <c r="B578" s="6">
        <v>44290</v>
      </c>
      <c r="C578" s="2" t="s">
        <v>3746</v>
      </c>
      <c r="D578" t="s">
        <v>6154</v>
      </c>
      <c r="E578" s="2">
        <v>6</v>
      </c>
      <c r="F578" s="2" t="str">
        <f>_xlfn.XLOOKUP(C578,customers!$A$1:$A$1001,customers!$B$1:$B$1001,,0,1)</f>
        <v>Phyllys Ormerod</v>
      </c>
      <c r="G578" s="2" t="str">
        <f>IF((_xlfn.XLOOKUP(C578,customers!$A$2:$A$1001,customers!$C$2:$C$1001,,,)=0),"",(_xlfn.XLOOKUP(C578,customers!$A$2:$A$1001,customers!$C$2:$C$1001,,0,)))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8"/>
        <v>17.91</v>
      </c>
      <c r="N578" t="str" cm="1">
        <f t="array" ref="N578">_xlfn.IFS(I578="rob","Robusta",I578="exc","Excesla",I578="ara","Arabica",I578="lib","Liberica")</f>
        <v>Arabica</v>
      </c>
      <c r="O578" t="str" cm="1">
        <f t="array" ref="O578">_xlfn.IFS(J578="m","Medium",J578="l","Light",J578="d","Dark")</f>
        <v>Dark</v>
      </c>
      <c r="P578" t="str">
        <f>_xlfn.XLOOKUP(orders[[#This Row],[Customer ID]],customers!$A$2:$A$1001,customers!$I$2:$I$1001,,0)</f>
        <v>No</v>
      </c>
    </row>
    <row r="579" spans="1:16" x14ac:dyDescent="0.3">
      <c r="A579" s="2" t="s">
        <v>3751</v>
      </c>
      <c r="B579" s="6">
        <v>44410</v>
      </c>
      <c r="C579" s="2" t="s">
        <v>3752</v>
      </c>
      <c r="D579" t="s">
        <v>6162</v>
      </c>
      <c r="E579" s="2">
        <v>4</v>
      </c>
      <c r="F579" s="2" t="str">
        <f>_xlfn.XLOOKUP(C579,customers!$A$1:$A$1001,customers!$B$1:$B$1001,,0,1)</f>
        <v>Don Flintiff</v>
      </c>
      <c r="G579" s="2" t="str">
        <f>IF((_xlfn.XLOOKUP(C579,customers!$A$2:$A$1001,customers!$C$2:$C$1001,,,)=0),"",(_xlfn.XLOOKUP(C579,customers!$A$2:$A$1001,customers!$C$2:$C$1001,,0,)))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9">L579*E579</f>
        <v>58.2</v>
      </c>
      <c r="N579" t="str" cm="1">
        <f t="array" ref="N579">_xlfn.IFS(I579="rob","Robusta",I579="exc","Excesla",I579="ara","Arabica",I579="lib","Liberica")</f>
        <v>Liberica</v>
      </c>
      <c r="O579" t="str" cm="1">
        <f t="array" ref="O579">_xlfn.IFS(J579="m","Medium",J579="l","Light",J579="d","Dark")</f>
        <v>Medium</v>
      </c>
      <c r="P579" t="str">
        <f>_xlfn.XLOOKUP(orders[[#This Row],[Customer ID]],customers!$A$2:$A$1001,customers!$I$2:$I$1001,,0)</f>
        <v>No</v>
      </c>
    </row>
    <row r="580" spans="1:16" x14ac:dyDescent="0.3">
      <c r="A580" s="2" t="s">
        <v>3756</v>
      </c>
      <c r="B580" s="6">
        <v>44720</v>
      </c>
      <c r="C580" s="2" t="s">
        <v>3757</v>
      </c>
      <c r="D580" t="s">
        <v>6184</v>
      </c>
      <c r="E580" s="2">
        <v>3</v>
      </c>
      <c r="F580" s="2" t="str">
        <f>_xlfn.XLOOKUP(C580,customers!$A$1:$A$1001,customers!$B$1:$B$1001,,0,1)</f>
        <v>Tymon Zanetti</v>
      </c>
      <c r="G580" s="2" t="str">
        <f>IF((_xlfn.XLOOKUP(C580,customers!$A$2:$A$1001,customers!$C$2:$C$1001,,,)=0),"",(_xlfn.XLOOKUP(C580,customers!$A$2:$A$1001,customers!$C$2:$C$1001,,0,)))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9"/>
        <v>13.365</v>
      </c>
      <c r="N580" t="str" cm="1">
        <f t="array" ref="N580">_xlfn.IFS(I580="rob","Robusta",I580="exc","Excesla",I580="ara","Arabica",I580="lib","Liberica")</f>
        <v>Excesla</v>
      </c>
      <c r="O580" t="str" cm="1">
        <f t="array" ref="O580">_xlfn.IFS(J580="m","Medium",J580="l","Light",J580="d","Dark")</f>
        <v>Light</v>
      </c>
      <c r="P580" t="str">
        <f>_xlfn.XLOOKUP(orders[[#This Row],[Customer ID]],customers!$A$2:$A$1001,customers!$I$2:$I$1001,,0)</f>
        <v>No</v>
      </c>
    </row>
    <row r="581" spans="1:16" x14ac:dyDescent="0.3">
      <c r="A581" s="2" t="s">
        <v>3756</v>
      </c>
      <c r="B581" s="6">
        <v>44720</v>
      </c>
      <c r="C581" s="2" t="s">
        <v>3757</v>
      </c>
      <c r="D581" t="s">
        <v>6157</v>
      </c>
      <c r="E581" s="2">
        <v>5</v>
      </c>
      <c r="F581" s="2" t="str">
        <f>_xlfn.XLOOKUP(C581,customers!$A$1:$A$1001,customers!$B$1:$B$1001,,0,1)</f>
        <v>Tymon Zanetti</v>
      </c>
      <c r="G581" s="2" t="str">
        <f>IF((_xlfn.XLOOKUP(C581,customers!$A$2:$A$1001,customers!$C$2:$C$1001,,,)=0),"",(_xlfn.XLOOKUP(C581,customers!$A$2:$A$1001,customers!$C$2:$C$1001,,0,)))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9"/>
        <v>33.75</v>
      </c>
      <c r="N581" t="str" cm="1">
        <f t="array" ref="N581">_xlfn.IFS(I581="rob","Robusta",I581="exc","Excesla",I581="ara","Arabica",I581="lib","Liberica")</f>
        <v>Arabica</v>
      </c>
      <c r="O581" t="str" cm="1">
        <f t="array" ref="O581">_xlfn.IFS(J581="m","Medium",J581="l","Light",J581="d","Dark")</f>
        <v>Medium</v>
      </c>
      <c r="P581" t="str">
        <f>_xlfn.XLOOKUP(orders[[#This Row],[Customer ID]],customers!$A$2:$A$1001,customers!$I$2:$I$1001,,0)</f>
        <v>No</v>
      </c>
    </row>
    <row r="582" spans="1:16" x14ac:dyDescent="0.3">
      <c r="A582" s="2" t="s">
        <v>3767</v>
      </c>
      <c r="B582" s="6">
        <v>43965</v>
      </c>
      <c r="C582" s="2" t="s">
        <v>3768</v>
      </c>
      <c r="D582" t="s">
        <v>6171</v>
      </c>
      <c r="E582" s="2">
        <v>3</v>
      </c>
      <c r="F582" s="2" t="str">
        <f>_xlfn.XLOOKUP(C582,customers!$A$1:$A$1001,customers!$B$1:$B$1001,,0,1)</f>
        <v>Reinaldos Kirtley</v>
      </c>
      <c r="G582" s="2" t="str">
        <f>IF((_xlfn.XLOOKUP(C582,customers!$A$2:$A$1001,customers!$C$2:$C$1001,,,)=0),"",(_xlfn.XLOOKUP(C582,customers!$A$2:$A$1001,customers!$C$2:$C$1001,,0,)))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9"/>
        <v>44.55</v>
      </c>
      <c r="N582" t="str" cm="1">
        <f t="array" ref="N582">_xlfn.IFS(I582="rob","Robusta",I582="exc","Excesla",I582="ara","Arabica",I582="lib","Liberica")</f>
        <v>Excesla</v>
      </c>
      <c r="O582" t="str" cm="1">
        <f t="array" ref="O582">_xlfn.IFS(J582="m","Medium",J582="l","Light",J582="d","Dark")</f>
        <v>Light</v>
      </c>
      <c r="P582" t="str">
        <f>_xlfn.XLOOKUP(orders[[#This Row],[Customer ID]],customers!$A$2:$A$1001,customers!$I$2:$I$1001,,0)</f>
        <v>Yes</v>
      </c>
    </row>
    <row r="583" spans="1:16" x14ac:dyDescent="0.3">
      <c r="A583" s="2" t="s">
        <v>3773</v>
      </c>
      <c r="B583" s="6">
        <v>44190</v>
      </c>
      <c r="C583" s="2" t="s">
        <v>3774</v>
      </c>
      <c r="D583" t="s">
        <v>6176</v>
      </c>
      <c r="E583" s="2">
        <v>5</v>
      </c>
      <c r="F583" s="2" t="str">
        <f>_xlfn.XLOOKUP(C583,customers!$A$1:$A$1001,customers!$B$1:$B$1001,,0,1)</f>
        <v>Carney Clemencet</v>
      </c>
      <c r="G583" s="2" t="str">
        <f>IF((_xlfn.XLOOKUP(C583,customers!$A$2:$A$1001,customers!$C$2:$C$1001,,,)=0),"",(_xlfn.XLOOKUP(C583,customers!$A$2:$A$1001,customers!$C$2:$C$1001,,0,)))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9"/>
        <v>44.55</v>
      </c>
      <c r="N583" t="str" cm="1">
        <f t="array" ref="N583">_xlfn.IFS(I583="rob","Robusta",I583="exc","Excesla",I583="ara","Arabica",I583="lib","Liberica")</f>
        <v>Excesla</v>
      </c>
      <c r="O583" t="str" cm="1">
        <f t="array" ref="O583">_xlfn.IFS(J583="m","Medium",J583="l","Light",J583="d","Dark")</f>
        <v>Light</v>
      </c>
      <c r="P583" t="str">
        <f>_xlfn.XLOOKUP(orders[[#This Row],[Customer ID]],customers!$A$2:$A$1001,customers!$I$2:$I$1001,,0)</f>
        <v>Yes</v>
      </c>
    </row>
    <row r="584" spans="1:16" x14ac:dyDescent="0.3">
      <c r="A584" s="2" t="s">
        <v>3778</v>
      </c>
      <c r="B584" s="6">
        <v>44382</v>
      </c>
      <c r="C584" s="2" t="s">
        <v>3779</v>
      </c>
      <c r="D584" t="s">
        <v>6183</v>
      </c>
      <c r="E584" s="2">
        <v>5</v>
      </c>
      <c r="F584" s="2" t="str">
        <f>_xlfn.XLOOKUP(C584,customers!$A$1:$A$1001,customers!$B$1:$B$1001,,0,1)</f>
        <v>Russell Donet</v>
      </c>
      <c r="G584" s="2" t="str">
        <f>IF((_xlfn.XLOOKUP(C584,customers!$A$2:$A$1001,customers!$C$2:$C$1001,,,)=0),"",(_xlfn.XLOOKUP(C584,customers!$A$2:$A$1001,customers!$C$2:$C$1001,,0,)))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9"/>
        <v>60.75</v>
      </c>
      <c r="N584" t="str" cm="1">
        <f t="array" ref="N584">_xlfn.IFS(I584="rob","Robusta",I584="exc","Excesla",I584="ara","Arabica",I584="lib","Liberica")</f>
        <v>Excesla</v>
      </c>
      <c r="O584" t="str" cm="1">
        <f t="array" ref="O584">_xlfn.IFS(J584="m","Medium",J584="l","Light",J584="d","Dark")</f>
        <v>Dark</v>
      </c>
      <c r="P584" t="str">
        <f>_xlfn.XLOOKUP(orders[[#This Row],[Customer ID]],customers!$A$2:$A$1001,customers!$I$2:$I$1001,,0)</f>
        <v>No</v>
      </c>
    </row>
    <row r="585" spans="1:16" x14ac:dyDescent="0.3">
      <c r="A585" s="2" t="s">
        <v>3784</v>
      </c>
      <c r="B585" s="6">
        <v>43538</v>
      </c>
      <c r="C585" s="2" t="s">
        <v>3785</v>
      </c>
      <c r="D585" t="s">
        <v>6178</v>
      </c>
      <c r="E585" s="2">
        <v>1</v>
      </c>
      <c r="F585" s="2" t="str">
        <f>_xlfn.XLOOKUP(C585,customers!$A$1:$A$1001,customers!$B$1:$B$1001,,0,1)</f>
        <v>Sidney Gawen</v>
      </c>
      <c r="G585" s="2" t="str">
        <f>IF((_xlfn.XLOOKUP(C585,customers!$A$2:$A$1001,customers!$C$2:$C$1001,,,)=0),"",(_xlfn.XLOOKUP(C585,customers!$A$2:$A$1001,customers!$C$2:$C$1001,,0,)))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9"/>
        <v>3.5849999999999995</v>
      </c>
      <c r="N585" t="str" cm="1">
        <f t="array" ref="N585">_xlfn.IFS(I585="rob","Robusta",I585="exc","Excesla",I585="ara","Arabica",I585="lib","Liberica")</f>
        <v>Robusta</v>
      </c>
      <c r="O585" t="str" cm="1">
        <f t="array" ref="O585">_xlfn.IFS(J585="m","Medium",J585="l","Light",J585="d","Dark")</f>
        <v>Light</v>
      </c>
      <c r="P585" t="str">
        <f>_xlfn.XLOOKUP(orders[[#This Row],[Customer ID]],customers!$A$2:$A$1001,customers!$I$2:$I$1001,,0)</f>
        <v>Yes</v>
      </c>
    </row>
    <row r="586" spans="1:16" x14ac:dyDescent="0.3">
      <c r="A586" s="2" t="s">
        <v>3790</v>
      </c>
      <c r="B586" s="6">
        <v>44262</v>
      </c>
      <c r="C586" s="2" t="s">
        <v>3791</v>
      </c>
      <c r="D586" t="s">
        <v>6178</v>
      </c>
      <c r="E586" s="2">
        <v>6</v>
      </c>
      <c r="F586" s="2" t="str">
        <f>_xlfn.XLOOKUP(C586,customers!$A$1:$A$1001,customers!$B$1:$B$1001,,0,1)</f>
        <v>Rickey Readie</v>
      </c>
      <c r="G586" s="2" t="str">
        <f>IF((_xlfn.XLOOKUP(C586,customers!$A$2:$A$1001,customers!$C$2:$C$1001,,,)=0),"",(_xlfn.XLOOKUP(C586,customers!$A$2:$A$1001,customers!$C$2:$C$1001,,0,)))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9"/>
        <v>21.509999999999998</v>
      </c>
      <c r="N586" t="str" cm="1">
        <f t="array" ref="N586">_xlfn.IFS(I586="rob","Robusta",I586="exc","Excesla",I586="ara","Arabica",I586="lib","Liberica")</f>
        <v>Robusta</v>
      </c>
      <c r="O586" t="str" cm="1">
        <f t="array" ref="O586">_xlfn.IFS(J586="m","Medium",J586="l","Light",J586="d","Dark")</f>
        <v>Light</v>
      </c>
      <c r="P586" t="str">
        <f>_xlfn.XLOOKUP(orders[[#This Row],[Customer ID]],customers!$A$2:$A$1001,customers!$I$2:$I$1001,,0)</f>
        <v>No</v>
      </c>
    </row>
    <row r="587" spans="1:16" x14ac:dyDescent="0.3">
      <c r="A587" s="2" t="s">
        <v>3796</v>
      </c>
      <c r="B587" s="6">
        <v>44505</v>
      </c>
      <c r="C587" s="2" t="s">
        <v>3840</v>
      </c>
      <c r="D587" t="s">
        <v>6139</v>
      </c>
      <c r="E587" s="2">
        <v>2</v>
      </c>
      <c r="F587" s="2" t="str">
        <f>_xlfn.XLOOKUP(C587,customers!$A$1:$A$1001,customers!$B$1:$B$1001,,0,1)</f>
        <v>Cody Verissimo</v>
      </c>
      <c r="G587" s="2" t="str">
        <f>IF((_xlfn.XLOOKUP(C587,customers!$A$2:$A$1001,customers!$C$2:$C$1001,,,)=0),"",(_xlfn.XLOOKUP(C587,customers!$A$2:$A$1001,customers!$C$2:$C$1001,,0,)))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9"/>
        <v>16.5</v>
      </c>
      <c r="N587" t="str" cm="1">
        <f t="array" ref="N587">_xlfn.IFS(I587="rob","Robusta",I587="exc","Excesla",I587="ara","Arabica",I587="lib","Liberica")</f>
        <v>Excesla</v>
      </c>
      <c r="O587" t="str" cm="1">
        <f t="array" ref="O587">_xlfn.IFS(J587="m","Medium",J587="l","Light",J587="d","Dark")</f>
        <v>Medium</v>
      </c>
      <c r="P587" t="str">
        <f>_xlfn.XLOOKUP(orders[[#This Row],[Customer ID]],customers!$A$2:$A$1001,customers!$I$2:$I$1001,,0)</f>
        <v>Yes</v>
      </c>
    </row>
    <row r="588" spans="1:16" x14ac:dyDescent="0.3">
      <c r="A588" s="2" t="s">
        <v>3802</v>
      </c>
      <c r="B588" s="6">
        <v>43867</v>
      </c>
      <c r="C588" s="2" t="s">
        <v>3803</v>
      </c>
      <c r="D588" t="s">
        <v>6142</v>
      </c>
      <c r="E588" s="2">
        <v>3</v>
      </c>
      <c r="F588" s="2" t="str">
        <f>_xlfn.XLOOKUP(C588,customers!$A$1:$A$1001,customers!$B$1:$B$1001,,0,1)</f>
        <v>Zilvia Claisse</v>
      </c>
      <c r="G588" s="2" t="str">
        <f>IF((_xlfn.XLOOKUP(C588,customers!$A$2:$A$1001,customers!$C$2:$C$1001,,,)=0),"",(_xlfn.XLOOKUP(C588,customers!$A$2:$A$1001,customers!$C$2:$C$1001,,0,)))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9"/>
        <v>82.454999999999984</v>
      </c>
      <c r="N588" t="str" cm="1">
        <f t="array" ref="N588">_xlfn.IFS(I588="rob","Robusta",I588="exc","Excesla",I588="ara","Arabica",I588="lib","Liberica")</f>
        <v>Robusta</v>
      </c>
      <c r="O588" t="str" cm="1">
        <f t="array" ref="O588">_xlfn.IFS(J588="m","Medium",J588="l","Light",J588="d","Dark")</f>
        <v>Light</v>
      </c>
      <c r="P588" t="str">
        <f>_xlfn.XLOOKUP(orders[[#This Row],[Customer ID]],customers!$A$2:$A$1001,customers!$I$2:$I$1001,,0)</f>
        <v>No</v>
      </c>
    </row>
    <row r="589" spans="1:16" x14ac:dyDescent="0.3">
      <c r="A589" s="2" t="s">
        <v>3807</v>
      </c>
      <c r="B589" s="6">
        <v>44267</v>
      </c>
      <c r="C589" s="2" t="s">
        <v>3808</v>
      </c>
      <c r="D589" t="s">
        <v>6169</v>
      </c>
      <c r="E589" s="2">
        <v>1</v>
      </c>
      <c r="F589" s="2" t="str">
        <f>_xlfn.XLOOKUP(C589,customers!$A$1:$A$1001,customers!$B$1:$B$1001,,0,1)</f>
        <v>Bar O' Mahony</v>
      </c>
      <c r="G589" s="2" t="str">
        <f>IF((_xlfn.XLOOKUP(C589,customers!$A$2:$A$1001,customers!$C$2:$C$1001,,,)=0),"",(_xlfn.XLOOKUP(C589,customers!$A$2:$A$1001,customers!$C$2:$C$1001,,0,)))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9"/>
        <v>7.77</v>
      </c>
      <c r="N589" t="str" cm="1">
        <f t="array" ref="N589">_xlfn.IFS(I589="rob","Robusta",I589="exc","Excesla",I589="ara","Arabica",I589="lib","Liberica")</f>
        <v>Liberica</v>
      </c>
      <c r="O589" t="str" cm="1">
        <f t="array" ref="O589">_xlfn.IFS(J589="m","Medium",J589="l","Light",J589="d","Dark")</f>
        <v>Dark</v>
      </c>
      <c r="P589" t="str">
        <f>_xlfn.XLOOKUP(orders[[#This Row],[Customer ID]],customers!$A$2:$A$1001,customers!$I$2:$I$1001,,0)</f>
        <v>Yes</v>
      </c>
    </row>
    <row r="590" spans="1:16" x14ac:dyDescent="0.3">
      <c r="A590" s="2" t="s">
        <v>3812</v>
      </c>
      <c r="B590" s="6">
        <v>44046</v>
      </c>
      <c r="C590" s="2" t="s">
        <v>3813</v>
      </c>
      <c r="D590" t="s">
        <v>6146</v>
      </c>
      <c r="E590" s="2">
        <v>2</v>
      </c>
      <c r="F590" s="2" t="str">
        <f>_xlfn.XLOOKUP(C590,customers!$A$1:$A$1001,customers!$B$1:$B$1001,,0,1)</f>
        <v>Valenka Stansbury</v>
      </c>
      <c r="G590" s="2" t="str">
        <f>IF((_xlfn.XLOOKUP(C590,customers!$A$2:$A$1001,customers!$C$2:$C$1001,,,)=0),"",(_xlfn.XLOOKUP(C590,customers!$A$2:$A$1001,customers!$C$2:$C$1001,,0,)))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9"/>
        <v>11.94</v>
      </c>
      <c r="N590" t="str" cm="1">
        <f t="array" ref="N590">_xlfn.IFS(I590="rob","Robusta",I590="exc","Excesla",I590="ara","Arabica",I590="lib","Liberica")</f>
        <v>Robusta</v>
      </c>
      <c r="O590" t="str" cm="1">
        <f t="array" ref="O590">_xlfn.IFS(J590="m","Medium",J590="l","Light",J590="d","Dark")</f>
        <v>Medium</v>
      </c>
      <c r="P590" t="str">
        <f>_xlfn.XLOOKUP(orders[[#This Row],[Customer ID]],customers!$A$2:$A$1001,customers!$I$2:$I$1001,,0)</f>
        <v>Yes</v>
      </c>
    </row>
    <row r="591" spans="1:16" x14ac:dyDescent="0.3">
      <c r="A591" s="2" t="s">
        <v>3818</v>
      </c>
      <c r="B591" s="6">
        <v>43671</v>
      </c>
      <c r="C591" s="2" t="s">
        <v>3819</v>
      </c>
      <c r="D591" t="s">
        <v>6148</v>
      </c>
      <c r="E591" s="2">
        <v>6</v>
      </c>
      <c r="F591" s="2" t="str">
        <f>_xlfn.XLOOKUP(C591,customers!$A$1:$A$1001,customers!$B$1:$B$1001,,0,1)</f>
        <v>Daniel Heinonen</v>
      </c>
      <c r="G591" s="2" t="str">
        <f>IF((_xlfn.XLOOKUP(C591,customers!$A$2:$A$1001,customers!$C$2:$C$1001,,,)=0),"",(_xlfn.XLOOKUP(C591,customers!$A$2:$A$1001,customers!$C$2:$C$1001,,0,)))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9"/>
        <v>204.92999999999995</v>
      </c>
      <c r="N591" t="str" cm="1">
        <f t="array" ref="N591">_xlfn.IFS(I591="rob","Robusta",I591="exc","Excesla",I591="ara","Arabica",I591="lib","Liberica")</f>
        <v>Excesla</v>
      </c>
      <c r="O591" t="str" cm="1">
        <f t="array" ref="O591">_xlfn.IFS(J591="m","Medium",J591="l","Light",J591="d","Dark")</f>
        <v>Light</v>
      </c>
      <c r="P591" t="str">
        <f>_xlfn.XLOOKUP(orders[[#This Row],[Customer ID]],customers!$A$2:$A$1001,customers!$I$2:$I$1001,,0)</f>
        <v>No</v>
      </c>
    </row>
    <row r="592" spans="1:16" x14ac:dyDescent="0.3">
      <c r="A592" s="2" t="s">
        <v>3823</v>
      </c>
      <c r="B592" s="6">
        <v>43950</v>
      </c>
      <c r="C592" s="2" t="s">
        <v>3824</v>
      </c>
      <c r="D592" t="s">
        <v>6166</v>
      </c>
      <c r="E592" s="2">
        <v>2</v>
      </c>
      <c r="F592" s="2" t="str">
        <f>_xlfn.XLOOKUP(C592,customers!$A$1:$A$1001,customers!$B$1:$B$1001,,0,1)</f>
        <v>Jewelle Shenton</v>
      </c>
      <c r="G592" s="2" t="str">
        <f>IF((_xlfn.XLOOKUP(C592,customers!$A$2:$A$1001,customers!$C$2:$C$1001,,,)=0),"",(_xlfn.XLOOKUP(C592,customers!$A$2:$A$1001,customers!$C$2:$C$1001,,0,)))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9"/>
        <v>63.249999999999993</v>
      </c>
      <c r="N592" t="str" cm="1">
        <f t="array" ref="N592">_xlfn.IFS(I592="rob","Robusta",I592="exc","Excesla",I592="ara","Arabica",I592="lib","Liberica")</f>
        <v>Excesla</v>
      </c>
      <c r="O592" t="str" cm="1">
        <f t="array" ref="O592">_xlfn.IFS(J592="m","Medium",J592="l","Light",J592="d","Dark")</f>
        <v>Medium</v>
      </c>
      <c r="P592" t="str">
        <f>_xlfn.XLOOKUP(orders[[#This Row],[Customer ID]],customers!$A$2:$A$1001,customers!$I$2:$I$1001,,0)</f>
        <v>Yes</v>
      </c>
    </row>
    <row r="593" spans="1:16" x14ac:dyDescent="0.3">
      <c r="A593" s="2" t="s">
        <v>3829</v>
      </c>
      <c r="B593" s="6">
        <v>43587</v>
      </c>
      <c r="C593" s="2" t="s">
        <v>3830</v>
      </c>
      <c r="D593" t="s">
        <v>6163</v>
      </c>
      <c r="E593" s="2">
        <v>3</v>
      </c>
      <c r="F593" s="2" t="str">
        <f>_xlfn.XLOOKUP(C593,customers!$A$1:$A$1001,customers!$B$1:$B$1001,,0,1)</f>
        <v>Jennifer Wilkisson</v>
      </c>
      <c r="G593" s="2" t="str">
        <f>IF((_xlfn.XLOOKUP(C593,customers!$A$2:$A$1001,customers!$C$2:$C$1001,,,)=0),"",(_xlfn.XLOOKUP(C593,customers!$A$2:$A$1001,customers!$C$2:$C$1001,,0,)))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9"/>
        <v>8.0549999999999997</v>
      </c>
      <c r="N593" t="str" cm="1">
        <f t="array" ref="N593">_xlfn.IFS(I593="rob","Robusta",I593="exc","Excesla",I593="ara","Arabica",I593="lib","Liberica")</f>
        <v>Robusta</v>
      </c>
      <c r="O593" t="str" cm="1">
        <f t="array" ref="O593">_xlfn.IFS(J593="m","Medium",J593="l","Light",J593="d","Dark")</f>
        <v>Dark</v>
      </c>
      <c r="P593" t="str">
        <f>_xlfn.XLOOKUP(orders[[#This Row],[Customer ID]],customers!$A$2:$A$1001,customers!$I$2:$I$1001,,0)</f>
        <v>Yes</v>
      </c>
    </row>
    <row r="594" spans="1:16" x14ac:dyDescent="0.3">
      <c r="A594" s="2" t="s">
        <v>3834</v>
      </c>
      <c r="B594" s="6">
        <v>44437</v>
      </c>
      <c r="C594" s="2" t="s">
        <v>3835</v>
      </c>
      <c r="D594" t="s">
        <v>6175</v>
      </c>
      <c r="E594" s="2">
        <v>2</v>
      </c>
      <c r="F594" s="2" t="str">
        <f>_xlfn.XLOOKUP(C594,customers!$A$1:$A$1001,customers!$B$1:$B$1001,,0,1)</f>
        <v>Kylie Mowat</v>
      </c>
      <c r="G594" s="2" t="str">
        <f>IF((_xlfn.XLOOKUP(C594,customers!$A$2:$A$1001,customers!$C$2:$C$1001,,,)=0),"",(_xlfn.XLOOKUP(C594,customers!$A$2:$A$1001,customers!$C$2:$C$1001,,0,)))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9"/>
        <v>51.749999999999993</v>
      </c>
      <c r="N594" t="str" cm="1">
        <f t="array" ref="N594">_xlfn.IFS(I594="rob","Robusta",I594="exc","Excesla",I594="ara","Arabica",I594="lib","Liberica")</f>
        <v>Arabica</v>
      </c>
      <c r="O594" t="str" cm="1">
        <f t="array" ref="O594">_xlfn.IFS(J594="m","Medium",J594="l","Light",J594="d","Dark")</f>
        <v>Medium</v>
      </c>
      <c r="P594" t="str">
        <f>_xlfn.XLOOKUP(orders[[#This Row],[Customer ID]],customers!$A$2:$A$1001,customers!$I$2:$I$1001,,0)</f>
        <v>No</v>
      </c>
    </row>
    <row r="595" spans="1:16" x14ac:dyDescent="0.3">
      <c r="A595" s="2" t="s">
        <v>3839</v>
      </c>
      <c r="B595" s="6">
        <v>43903</v>
      </c>
      <c r="C595" s="2" t="s">
        <v>3840</v>
      </c>
      <c r="D595" t="s">
        <v>6185</v>
      </c>
      <c r="E595" s="2">
        <v>1</v>
      </c>
      <c r="F595" s="2" t="str">
        <f>_xlfn.XLOOKUP(C595,customers!$A$1:$A$1001,customers!$B$1:$B$1001,,0,1)</f>
        <v>Cody Verissimo</v>
      </c>
      <c r="G595" s="2" t="str">
        <f>IF((_xlfn.XLOOKUP(C595,customers!$A$2:$A$1001,customers!$C$2:$C$1001,,,)=0),"",(_xlfn.XLOOKUP(C595,customers!$A$2:$A$1001,customers!$C$2:$C$1001,,0,)))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9"/>
        <v>27.945</v>
      </c>
      <c r="N595" t="str" cm="1">
        <f t="array" ref="N595">_xlfn.IFS(I595="rob","Robusta",I595="exc","Excesla",I595="ara","Arabica",I595="lib","Liberica")</f>
        <v>Excesla</v>
      </c>
      <c r="O595" t="str" cm="1">
        <f t="array" ref="O595">_xlfn.IFS(J595="m","Medium",J595="l","Light",J595="d","Dark")</f>
        <v>Dark</v>
      </c>
      <c r="P595" t="str">
        <f>_xlfn.XLOOKUP(orders[[#This Row],[Customer ID]],customers!$A$2:$A$1001,customers!$I$2:$I$1001,,0)</f>
        <v>Yes</v>
      </c>
    </row>
    <row r="596" spans="1:16" x14ac:dyDescent="0.3">
      <c r="A596" s="2" t="s">
        <v>3844</v>
      </c>
      <c r="B596" s="6">
        <v>43512</v>
      </c>
      <c r="C596" s="2" t="s">
        <v>3845</v>
      </c>
      <c r="D596" t="s">
        <v>6182</v>
      </c>
      <c r="E596" s="2">
        <v>2</v>
      </c>
      <c r="F596" s="2" t="str">
        <f>_xlfn.XLOOKUP(C596,customers!$A$1:$A$1001,customers!$B$1:$B$1001,,0,1)</f>
        <v>Gabriel Starcks</v>
      </c>
      <c r="G596" s="2" t="str">
        <f>IF((_xlfn.XLOOKUP(C596,customers!$A$2:$A$1001,customers!$C$2:$C$1001,,,)=0),"",(_xlfn.XLOOKUP(C596,customers!$A$2:$A$1001,customers!$C$2:$C$1001,,0,)))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9"/>
        <v>59.569999999999993</v>
      </c>
      <c r="N596" t="str" cm="1">
        <f t="array" ref="N596">_xlfn.IFS(I596="rob","Robusta",I596="exc","Excesla",I596="ara","Arabica",I596="lib","Liberica")</f>
        <v>Arabica</v>
      </c>
      <c r="O596" t="str" cm="1">
        <f t="array" ref="O596">_xlfn.IFS(J596="m","Medium",J596="l","Light",J596="d","Dark")</f>
        <v>Light</v>
      </c>
      <c r="P596" t="str">
        <f>_xlfn.XLOOKUP(orders[[#This Row],[Customer ID]],customers!$A$2:$A$1001,customers!$I$2:$I$1001,,0)</f>
        <v>No</v>
      </c>
    </row>
    <row r="597" spans="1:16" x14ac:dyDescent="0.3">
      <c r="A597" s="2" t="s">
        <v>3850</v>
      </c>
      <c r="B597" s="6">
        <v>44527</v>
      </c>
      <c r="C597" s="2" t="s">
        <v>3851</v>
      </c>
      <c r="D597" t="s">
        <v>6171</v>
      </c>
      <c r="E597" s="2">
        <v>1</v>
      </c>
      <c r="F597" s="2" t="str">
        <f>_xlfn.XLOOKUP(C597,customers!$A$1:$A$1001,customers!$B$1:$B$1001,,0,1)</f>
        <v>Darby Dummer</v>
      </c>
      <c r="G597" s="2" t="str">
        <f>IF((_xlfn.XLOOKUP(C597,customers!$A$2:$A$1001,customers!$C$2:$C$1001,,,)=0),"",(_xlfn.XLOOKUP(C597,customers!$A$2:$A$1001,customers!$C$2:$C$1001,,0,)))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9"/>
        <v>14.85</v>
      </c>
      <c r="N597" t="str" cm="1">
        <f t="array" ref="N597">_xlfn.IFS(I597="rob","Robusta",I597="exc","Excesla",I597="ara","Arabica",I597="lib","Liberica")</f>
        <v>Excesla</v>
      </c>
      <c r="O597" t="str" cm="1">
        <f t="array" ref="O597">_xlfn.IFS(J597="m","Medium",J597="l","Light",J597="d","Dark")</f>
        <v>Light</v>
      </c>
      <c r="P597" t="str">
        <f>_xlfn.XLOOKUP(orders[[#This Row],[Customer ID]],customers!$A$2:$A$1001,customers!$I$2:$I$1001,,0)</f>
        <v>No</v>
      </c>
    </row>
    <row r="598" spans="1:16" x14ac:dyDescent="0.3">
      <c r="A598" s="2" t="s">
        <v>3854</v>
      </c>
      <c r="B598" s="6">
        <v>44523</v>
      </c>
      <c r="C598" s="2" t="s">
        <v>3855</v>
      </c>
      <c r="D598" t="s">
        <v>6157</v>
      </c>
      <c r="E598" s="2">
        <v>5</v>
      </c>
      <c r="F598" s="2" t="str">
        <f>_xlfn.XLOOKUP(C598,customers!$A$1:$A$1001,customers!$B$1:$B$1001,,0,1)</f>
        <v>Kienan Scholard</v>
      </c>
      <c r="G598" s="2" t="str">
        <f>IF((_xlfn.XLOOKUP(C598,customers!$A$2:$A$1001,customers!$C$2:$C$1001,,,)=0),"",(_xlfn.XLOOKUP(C598,customers!$A$2:$A$1001,customers!$C$2:$C$1001,,0,)))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9"/>
        <v>33.75</v>
      </c>
      <c r="N598" t="str" cm="1">
        <f t="array" ref="N598">_xlfn.IFS(I598="rob","Robusta",I598="exc","Excesla",I598="ara","Arabica",I598="lib","Liberica")</f>
        <v>Arabica</v>
      </c>
      <c r="O598" t="str" cm="1">
        <f t="array" ref="O598">_xlfn.IFS(J598="m","Medium",J598="l","Light",J598="d","Dark")</f>
        <v>Medium</v>
      </c>
      <c r="P598" t="str">
        <f>_xlfn.XLOOKUP(orders[[#This Row],[Customer ID]],customers!$A$2:$A$1001,customers!$I$2:$I$1001,,0)</f>
        <v>No</v>
      </c>
    </row>
    <row r="599" spans="1:16" x14ac:dyDescent="0.3">
      <c r="A599" s="2" t="s">
        <v>3860</v>
      </c>
      <c r="B599" s="6">
        <v>44532</v>
      </c>
      <c r="C599" s="2" t="s">
        <v>3861</v>
      </c>
      <c r="D599" t="s">
        <v>6164</v>
      </c>
      <c r="E599" s="2">
        <v>4</v>
      </c>
      <c r="F599" s="2" t="str">
        <f>_xlfn.XLOOKUP(C599,customers!$A$1:$A$1001,customers!$B$1:$B$1001,,0,1)</f>
        <v>Bo Kindley</v>
      </c>
      <c r="G599" s="2" t="str">
        <f>IF((_xlfn.XLOOKUP(C599,customers!$A$2:$A$1001,customers!$C$2:$C$1001,,,)=0),"",(_xlfn.XLOOKUP(C599,customers!$A$2:$A$1001,customers!$C$2:$C$1001,,0,)))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9"/>
        <v>145.82</v>
      </c>
      <c r="N599" t="str" cm="1">
        <f t="array" ref="N599">_xlfn.IFS(I599="rob","Robusta",I599="exc","Excesla",I599="ara","Arabica",I599="lib","Liberica")</f>
        <v>Liberica</v>
      </c>
      <c r="O599" t="str" cm="1">
        <f t="array" ref="O599">_xlfn.IFS(J599="m","Medium",J599="l","Light",J599="d","Dark")</f>
        <v>Light</v>
      </c>
      <c r="P599" t="str">
        <f>_xlfn.XLOOKUP(orders[[#This Row],[Customer ID]],customers!$A$2:$A$1001,customers!$I$2:$I$1001,,0)</f>
        <v>Yes</v>
      </c>
    </row>
    <row r="600" spans="1:16" x14ac:dyDescent="0.3">
      <c r="A600" s="2" t="s">
        <v>3866</v>
      </c>
      <c r="B600" s="6">
        <v>43471</v>
      </c>
      <c r="C600" s="2" t="s">
        <v>3867</v>
      </c>
      <c r="D600" t="s">
        <v>6174</v>
      </c>
      <c r="E600" s="2">
        <v>4</v>
      </c>
      <c r="F600" s="2" t="str">
        <f>_xlfn.XLOOKUP(C600,customers!$A$1:$A$1001,customers!$B$1:$B$1001,,0,1)</f>
        <v>Krissie Hammett</v>
      </c>
      <c r="G600" s="2" t="str">
        <f>IF((_xlfn.XLOOKUP(C600,customers!$A$2:$A$1001,customers!$C$2:$C$1001,,,)=0),"",(_xlfn.XLOOKUP(C600,customers!$A$2:$A$1001,customers!$C$2:$C$1001,,0,)))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9"/>
        <v>11.94</v>
      </c>
      <c r="N600" t="str" cm="1">
        <f t="array" ref="N600">_xlfn.IFS(I600="rob","Robusta",I600="exc","Excesla",I600="ara","Arabica",I600="lib","Liberica")</f>
        <v>Robusta</v>
      </c>
      <c r="O600" t="str" cm="1">
        <f t="array" ref="O600">_xlfn.IFS(J600="m","Medium",J600="l","Light",J600="d","Dark")</f>
        <v>Medium</v>
      </c>
      <c r="P600" t="str">
        <f>_xlfn.XLOOKUP(orders[[#This Row],[Customer ID]],customers!$A$2:$A$1001,customers!$I$2:$I$1001,,0)</f>
        <v>Yes</v>
      </c>
    </row>
    <row r="601" spans="1:16" x14ac:dyDescent="0.3">
      <c r="A601" s="2" t="s">
        <v>3872</v>
      </c>
      <c r="B601" s="6">
        <v>44321</v>
      </c>
      <c r="C601" s="2" t="s">
        <v>3873</v>
      </c>
      <c r="D601" t="s">
        <v>6154</v>
      </c>
      <c r="E601" s="2">
        <v>4</v>
      </c>
      <c r="F601" s="2" t="str">
        <f>_xlfn.XLOOKUP(C601,customers!$A$1:$A$1001,customers!$B$1:$B$1001,,0,1)</f>
        <v>Alisha Hulburt</v>
      </c>
      <c r="G601" s="2" t="str">
        <f>IF((_xlfn.XLOOKUP(C601,customers!$A$2:$A$1001,customers!$C$2:$C$1001,,,)=0),"",(_xlfn.XLOOKUP(C601,customers!$A$2:$A$1001,customers!$C$2:$C$1001,,0,)))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9"/>
        <v>11.94</v>
      </c>
      <c r="N601" t="str" cm="1">
        <f t="array" ref="N601">_xlfn.IFS(I601="rob","Robusta",I601="exc","Excesla",I601="ara","Arabica",I601="lib","Liberica")</f>
        <v>Arabica</v>
      </c>
      <c r="O601" t="str" cm="1">
        <f t="array" ref="O601">_xlfn.IFS(J601="m","Medium",J601="l","Light",J601="d","Dark")</f>
        <v>Dark</v>
      </c>
      <c r="P601" t="str">
        <f>_xlfn.XLOOKUP(orders[[#This Row],[Customer ID]],customers!$A$2:$A$1001,customers!$I$2:$I$1001,,0)</f>
        <v>Yes</v>
      </c>
    </row>
    <row r="602" spans="1:16" x14ac:dyDescent="0.3">
      <c r="A602" s="2" t="s">
        <v>3877</v>
      </c>
      <c r="B602" s="6">
        <v>44492</v>
      </c>
      <c r="C602" s="2" t="s">
        <v>3878</v>
      </c>
      <c r="D602" t="s">
        <v>6169</v>
      </c>
      <c r="E602" s="2">
        <v>1</v>
      </c>
      <c r="F602" s="2" t="str">
        <f>_xlfn.XLOOKUP(C602,customers!$A$1:$A$1001,customers!$B$1:$B$1001,,0,1)</f>
        <v>Peyter Lauritzen</v>
      </c>
      <c r="G602" s="2" t="str">
        <f>IF((_xlfn.XLOOKUP(C602,customers!$A$2:$A$1001,customers!$C$2:$C$1001,,,)=0),"",(_xlfn.XLOOKUP(C602,customers!$A$2:$A$1001,customers!$C$2:$C$1001,,0,)))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9"/>
        <v>7.77</v>
      </c>
      <c r="N602" t="str" cm="1">
        <f t="array" ref="N602">_xlfn.IFS(I602="rob","Robusta",I602="exc","Excesla",I602="ara","Arabica",I602="lib","Liberica")</f>
        <v>Liberica</v>
      </c>
      <c r="O602" t="str" cm="1">
        <f t="array" ref="O602">_xlfn.IFS(J602="m","Medium",J602="l","Light",J602="d","Dark")</f>
        <v>Dark</v>
      </c>
      <c r="P602" t="str">
        <f>_xlfn.XLOOKUP(orders[[#This Row],[Customer ID]],customers!$A$2:$A$1001,customers!$I$2:$I$1001,,0)</f>
        <v>No</v>
      </c>
    </row>
    <row r="603" spans="1:16" x14ac:dyDescent="0.3">
      <c r="A603" s="2" t="s">
        <v>3883</v>
      </c>
      <c r="B603" s="6">
        <v>43815</v>
      </c>
      <c r="C603" s="2" t="s">
        <v>3884</v>
      </c>
      <c r="D603" t="s">
        <v>6142</v>
      </c>
      <c r="E603" s="2">
        <v>4</v>
      </c>
      <c r="F603" s="2" t="str">
        <f>_xlfn.XLOOKUP(C603,customers!$A$1:$A$1001,customers!$B$1:$B$1001,,0,1)</f>
        <v>Aurelia Burgwin</v>
      </c>
      <c r="G603" s="2" t="str">
        <f>IF((_xlfn.XLOOKUP(C603,customers!$A$2:$A$1001,customers!$C$2:$C$1001,,,)=0),"",(_xlfn.XLOOKUP(C603,customers!$A$2:$A$1001,customers!$C$2:$C$1001,,0,)))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9"/>
        <v>109.93999999999998</v>
      </c>
      <c r="N603" t="str" cm="1">
        <f t="array" ref="N603">_xlfn.IFS(I603="rob","Robusta",I603="exc","Excesla",I603="ara","Arabica",I603="lib","Liberica")</f>
        <v>Robusta</v>
      </c>
      <c r="O603" t="str" cm="1">
        <f t="array" ref="O603">_xlfn.IFS(J603="m","Medium",J603="l","Light",J603="d","Dark")</f>
        <v>Light</v>
      </c>
      <c r="P603" t="str">
        <f>_xlfn.XLOOKUP(orders[[#This Row],[Customer ID]],customers!$A$2:$A$1001,customers!$I$2:$I$1001,,0)</f>
        <v>Yes</v>
      </c>
    </row>
    <row r="604" spans="1:16" x14ac:dyDescent="0.3">
      <c r="A604" s="2" t="s">
        <v>3889</v>
      </c>
      <c r="B604" s="6">
        <v>43603</v>
      </c>
      <c r="C604" s="2" t="s">
        <v>3890</v>
      </c>
      <c r="D604" t="s">
        <v>6184</v>
      </c>
      <c r="E604" s="2">
        <v>5</v>
      </c>
      <c r="F604" s="2" t="str">
        <f>_xlfn.XLOOKUP(C604,customers!$A$1:$A$1001,customers!$B$1:$B$1001,,0,1)</f>
        <v>Emalee Rolin</v>
      </c>
      <c r="G604" s="2" t="str">
        <f>IF((_xlfn.XLOOKUP(C604,customers!$A$2:$A$1001,customers!$C$2:$C$1001,,,)=0),"",(_xlfn.XLOOKUP(C604,customers!$A$2:$A$1001,customers!$C$2:$C$1001,,0,)))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9"/>
        <v>22.274999999999999</v>
      </c>
      <c r="N604" t="str" cm="1">
        <f t="array" ref="N604">_xlfn.IFS(I604="rob","Robusta",I604="exc","Excesla",I604="ara","Arabica",I604="lib","Liberica")</f>
        <v>Excesla</v>
      </c>
      <c r="O604" t="str" cm="1">
        <f t="array" ref="O604">_xlfn.IFS(J604="m","Medium",J604="l","Light",J604="d","Dark")</f>
        <v>Light</v>
      </c>
      <c r="P604" t="str">
        <f>_xlfn.XLOOKUP(orders[[#This Row],[Customer ID]],customers!$A$2:$A$1001,customers!$I$2:$I$1001,,0)</f>
        <v>Yes</v>
      </c>
    </row>
    <row r="605" spans="1:16" x14ac:dyDescent="0.3">
      <c r="A605" s="2" t="s">
        <v>3895</v>
      </c>
      <c r="B605" s="6">
        <v>43660</v>
      </c>
      <c r="C605" s="2" t="s">
        <v>3896</v>
      </c>
      <c r="D605" t="s">
        <v>6174</v>
      </c>
      <c r="E605" s="2">
        <v>3</v>
      </c>
      <c r="F605" s="2" t="str">
        <f>_xlfn.XLOOKUP(C605,customers!$A$1:$A$1001,customers!$B$1:$B$1001,,0,1)</f>
        <v>Donavon Fowle</v>
      </c>
      <c r="G605" s="2" t="str">
        <f>IF((_xlfn.XLOOKUP(C605,customers!$A$2:$A$1001,customers!$C$2:$C$1001,,,)=0),"",(_xlfn.XLOOKUP(C605,customers!$A$2:$A$1001,customers!$C$2:$C$1001,,0,)))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9"/>
        <v>8.9550000000000001</v>
      </c>
      <c r="N605" t="str" cm="1">
        <f t="array" ref="N605">_xlfn.IFS(I605="rob","Robusta",I605="exc","Excesla",I605="ara","Arabica",I605="lib","Liberica")</f>
        <v>Robusta</v>
      </c>
      <c r="O605" t="str" cm="1">
        <f t="array" ref="O605">_xlfn.IFS(J605="m","Medium",J605="l","Light",J605="d","Dark")</f>
        <v>Medium</v>
      </c>
      <c r="P605" t="str">
        <f>_xlfn.XLOOKUP(orders[[#This Row],[Customer ID]],customers!$A$2:$A$1001,customers!$I$2:$I$1001,,0)</f>
        <v>No</v>
      </c>
    </row>
    <row r="606" spans="1:16" x14ac:dyDescent="0.3">
      <c r="A606" s="2" t="s">
        <v>3900</v>
      </c>
      <c r="B606" s="6">
        <v>44148</v>
      </c>
      <c r="C606" s="2" t="s">
        <v>3901</v>
      </c>
      <c r="D606" t="s">
        <v>6165</v>
      </c>
      <c r="E606" s="2">
        <v>4</v>
      </c>
      <c r="F606" s="2" t="str">
        <f>_xlfn.XLOOKUP(C606,customers!$A$1:$A$1001,customers!$B$1:$B$1001,,0,1)</f>
        <v>Jorge Bettison</v>
      </c>
      <c r="G606" s="2" t="str">
        <f>IF((_xlfn.XLOOKUP(C606,customers!$A$2:$A$1001,customers!$C$2:$C$1001,,,)=0),"",(_xlfn.XLOOKUP(C606,customers!$A$2:$A$1001,customers!$C$2:$C$1001,,0,)))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9"/>
        <v>119.13999999999999</v>
      </c>
      <c r="N606" t="str" cm="1">
        <f t="array" ref="N606">_xlfn.IFS(I606="rob","Robusta",I606="exc","Excesla",I606="ara","Arabica",I606="lib","Liberica")</f>
        <v>Liberica</v>
      </c>
      <c r="O606" t="str" cm="1">
        <f t="array" ref="O606">_xlfn.IFS(J606="m","Medium",J606="l","Light",J606="d","Dark")</f>
        <v>Dark</v>
      </c>
      <c r="P606" t="str">
        <f>_xlfn.XLOOKUP(orders[[#This Row],[Customer ID]],customers!$A$2:$A$1001,customers!$I$2:$I$1001,,0)</f>
        <v>No</v>
      </c>
    </row>
    <row r="607" spans="1:16" x14ac:dyDescent="0.3">
      <c r="A607" s="2" t="s">
        <v>3905</v>
      </c>
      <c r="B607" s="6">
        <v>44028</v>
      </c>
      <c r="C607" s="2" t="s">
        <v>3906</v>
      </c>
      <c r="D607" t="s">
        <v>6182</v>
      </c>
      <c r="E607" s="2">
        <v>5</v>
      </c>
      <c r="F607" s="2" t="str">
        <f>_xlfn.XLOOKUP(C607,customers!$A$1:$A$1001,customers!$B$1:$B$1001,,0,1)</f>
        <v>Wang Powlesland</v>
      </c>
      <c r="G607" s="2" t="str">
        <f>IF((_xlfn.XLOOKUP(C607,customers!$A$2:$A$1001,customers!$C$2:$C$1001,,,)=0),"",(_xlfn.XLOOKUP(C607,customers!$A$2:$A$1001,customers!$C$2:$C$1001,,0,)))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9"/>
        <v>148.92499999999998</v>
      </c>
      <c r="N607" t="str" cm="1">
        <f t="array" ref="N607">_xlfn.IFS(I607="rob","Robusta",I607="exc","Excesla",I607="ara","Arabica",I607="lib","Liberica")</f>
        <v>Arabica</v>
      </c>
      <c r="O607" t="str" cm="1">
        <f t="array" ref="O607">_xlfn.IFS(J607="m","Medium",J607="l","Light",J607="d","Dark")</f>
        <v>Light</v>
      </c>
      <c r="P607" t="str">
        <f>_xlfn.XLOOKUP(orders[[#This Row],[Customer ID]],customers!$A$2:$A$1001,customers!$I$2:$I$1001,,0)</f>
        <v>Yes</v>
      </c>
    </row>
    <row r="608" spans="1:16" x14ac:dyDescent="0.3">
      <c r="A608" s="2" t="s">
        <v>3911</v>
      </c>
      <c r="B608" s="6">
        <v>44138</v>
      </c>
      <c r="C608" s="2" t="s">
        <v>3840</v>
      </c>
      <c r="D608" t="s">
        <v>6164</v>
      </c>
      <c r="E608" s="2">
        <v>3</v>
      </c>
      <c r="F608" s="2" t="str">
        <f>_xlfn.XLOOKUP(C608,customers!$A$1:$A$1001,customers!$B$1:$B$1001,,0,1)</f>
        <v>Cody Verissimo</v>
      </c>
      <c r="G608" s="2" t="str">
        <f>IF((_xlfn.XLOOKUP(C608,customers!$A$2:$A$1001,customers!$C$2:$C$1001,,,)=0),"",(_xlfn.XLOOKUP(C608,customers!$A$2:$A$1001,customers!$C$2:$C$1001,,0,)))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9"/>
        <v>109.36499999999999</v>
      </c>
      <c r="N608" t="str" cm="1">
        <f t="array" ref="N608">_xlfn.IFS(I608="rob","Robusta",I608="exc","Excesla",I608="ara","Arabica",I608="lib","Liberica")</f>
        <v>Liberica</v>
      </c>
      <c r="O608" t="str" cm="1">
        <f t="array" ref="O608">_xlfn.IFS(J608="m","Medium",J608="l","Light",J608="d","Dark")</f>
        <v>Light</v>
      </c>
      <c r="P608" t="str">
        <f>_xlfn.XLOOKUP(orders[[#This Row],[Customer ID]],customers!$A$2:$A$1001,customers!$I$2:$I$1001,,0)</f>
        <v>Yes</v>
      </c>
    </row>
    <row r="609" spans="1:16" x14ac:dyDescent="0.3">
      <c r="A609" s="2" t="s">
        <v>3917</v>
      </c>
      <c r="B609" s="6">
        <v>44640</v>
      </c>
      <c r="C609" s="2" t="s">
        <v>3918</v>
      </c>
      <c r="D609" t="s">
        <v>6153</v>
      </c>
      <c r="E609" s="2">
        <v>1</v>
      </c>
      <c r="F609" s="2" t="str">
        <f>_xlfn.XLOOKUP(C609,customers!$A$1:$A$1001,customers!$B$1:$B$1001,,0,1)</f>
        <v>Laurence Ellingham</v>
      </c>
      <c r="G609" s="2" t="str">
        <f>IF((_xlfn.XLOOKUP(C609,customers!$A$2:$A$1001,customers!$C$2:$C$1001,,,)=0),"",(_xlfn.XLOOKUP(C609,customers!$A$2:$A$1001,customers!$C$2:$C$1001,,0,)))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9"/>
        <v>3.645</v>
      </c>
      <c r="N609" t="str" cm="1">
        <f t="array" ref="N609">_xlfn.IFS(I609="rob","Robusta",I609="exc","Excesla",I609="ara","Arabica",I609="lib","Liberica")</f>
        <v>Excesla</v>
      </c>
      <c r="O609" t="str" cm="1">
        <f t="array" ref="O609">_xlfn.IFS(J609="m","Medium",J609="l","Light",J609="d","Dark")</f>
        <v>Dark</v>
      </c>
      <c r="P609" t="str">
        <f>_xlfn.XLOOKUP(orders[[#This Row],[Customer ID]],customers!$A$2:$A$1001,customers!$I$2:$I$1001,,0)</f>
        <v>Yes</v>
      </c>
    </row>
    <row r="610" spans="1:16" x14ac:dyDescent="0.3">
      <c r="A610" s="2" t="s">
        <v>3923</v>
      </c>
      <c r="B610" s="6">
        <v>44608</v>
      </c>
      <c r="C610" s="2" t="s">
        <v>3924</v>
      </c>
      <c r="D610" t="s">
        <v>6185</v>
      </c>
      <c r="E610" s="2">
        <v>2</v>
      </c>
      <c r="F610" s="2" t="str">
        <f>_xlfn.XLOOKUP(C610,customers!$A$1:$A$1001,customers!$B$1:$B$1001,,0,1)</f>
        <v>Billy Neiland</v>
      </c>
      <c r="G610" s="2" t="str">
        <f>IF((_xlfn.XLOOKUP(C610,customers!$A$2:$A$1001,customers!$C$2:$C$1001,,,)=0),"",(_xlfn.XLOOKUP(C610,customers!$A$2:$A$1001,customers!$C$2:$C$1001,,0,)))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9"/>
        <v>55.89</v>
      </c>
      <c r="N610" t="str" cm="1">
        <f t="array" ref="N610">_xlfn.IFS(I610="rob","Robusta",I610="exc","Excesla",I610="ara","Arabica",I610="lib","Liberica")</f>
        <v>Excesla</v>
      </c>
      <c r="O610" t="str" cm="1">
        <f t="array" ref="O610">_xlfn.IFS(J610="m","Medium",J610="l","Light",J610="d","Dark")</f>
        <v>Dark</v>
      </c>
      <c r="P610" t="str">
        <f>_xlfn.XLOOKUP(orders[[#This Row],[Customer ID]],customers!$A$2:$A$1001,customers!$I$2:$I$1001,,0)</f>
        <v>No</v>
      </c>
    </row>
    <row r="611" spans="1:16" x14ac:dyDescent="0.3">
      <c r="A611" s="2" t="s">
        <v>3927</v>
      </c>
      <c r="B611" s="6">
        <v>44147</v>
      </c>
      <c r="C611" s="2" t="s">
        <v>3928</v>
      </c>
      <c r="D611" t="s">
        <v>6159</v>
      </c>
      <c r="E611" s="2">
        <v>6</v>
      </c>
      <c r="F611" s="2" t="str">
        <f>_xlfn.XLOOKUP(C611,customers!$A$1:$A$1001,customers!$B$1:$B$1001,,0,1)</f>
        <v>Ancell Fendt</v>
      </c>
      <c r="G611" s="2" t="str">
        <f>IF((_xlfn.XLOOKUP(C611,customers!$A$2:$A$1001,customers!$C$2:$C$1001,,,)=0),"",(_xlfn.XLOOKUP(C611,customers!$A$2:$A$1001,customers!$C$2:$C$1001,,0,)))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9"/>
        <v>26.19</v>
      </c>
      <c r="N611" t="str" cm="1">
        <f t="array" ref="N611">_xlfn.IFS(I611="rob","Robusta",I611="exc","Excesla",I611="ara","Arabica",I611="lib","Liberica")</f>
        <v>Liberica</v>
      </c>
      <c r="O611" t="str" cm="1">
        <f t="array" ref="O611">_xlfn.IFS(J611="m","Medium",J611="l","Light",J611="d","Dark")</f>
        <v>Medium</v>
      </c>
      <c r="P611" t="str">
        <f>_xlfn.XLOOKUP(orders[[#This Row],[Customer ID]],customers!$A$2:$A$1001,customers!$I$2:$I$1001,,0)</f>
        <v>Yes</v>
      </c>
    </row>
    <row r="612" spans="1:16" x14ac:dyDescent="0.3">
      <c r="A612" s="2" t="s">
        <v>3933</v>
      </c>
      <c r="B612" s="6">
        <v>43743</v>
      </c>
      <c r="C612" s="2" t="s">
        <v>3934</v>
      </c>
      <c r="D612" t="s">
        <v>6138</v>
      </c>
      <c r="E612" s="2">
        <v>4</v>
      </c>
      <c r="F612" s="2" t="str">
        <f>_xlfn.XLOOKUP(C612,customers!$A$1:$A$1001,customers!$B$1:$B$1001,,0,1)</f>
        <v>Angelia Cleyburn</v>
      </c>
      <c r="G612" s="2" t="str">
        <f>IF((_xlfn.XLOOKUP(C612,customers!$A$2:$A$1001,customers!$C$2:$C$1001,,,)=0),"",(_xlfn.XLOOKUP(C612,customers!$A$2:$A$1001,customers!$C$2:$C$1001,,0,)))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9"/>
        <v>39.799999999999997</v>
      </c>
      <c r="N612" t="str" cm="1">
        <f t="array" ref="N612">_xlfn.IFS(I612="rob","Robusta",I612="exc","Excesla",I612="ara","Arabica",I612="lib","Liberica")</f>
        <v>Robusta</v>
      </c>
      <c r="O612" t="str" cm="1">
        <f t="array" ref="O612">_xlfn.IFS(J612="m","Medium",J612="l","Light",J612="d","Dark")</f>
        <v>Medium</v>
      </c>
      <c r="P612" t="str">
        <f>_xlfn.XLOOKUP(orders[[#This Row],[Customer ID]],customers!$A$2:$A$1001,customers!$I$2:$I$1001,,0)</f>
        <v>No</v>
      </c>
    </row>
    <row r="613" spans="1:16" x14ac:dyDescent="0.3">
      <c r="A613" s="2" t="s">
        <v>3939</v>
      </c>
      <c r="B613" s="6">
        <v>43739</v>
      </c>
      <c r="C613" s="2" t="s">
        <v>3940</v>
      </c>
      <c r="D613" t="s">
        <v>6148</v>
      </c>
      <c r="E613" s="2">
        <v>2</v>
      </c>
      <c r="F613" s="2" t="str">
        <f>_xlfn.XLOOKUP(C613,customers!$A$1:$A$1001,customers!$B$1:$B$1001,,0,1)</f>
        <v>Temple Castiglione</v>
      </c>
      <c r="G613" s="2" t="str">
        <f>IF((_xlfn.XLOOKUP(C613,customers!$A$2:$A$1001,customers!$C$2:$C$1001,,,)=0),"",(_xlfn.XLOOKUP(C613,customers!$A$2:$A$1001,customers!$C$2:$C$1001,,0,)))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9"/>
        <v>68.309999999999988</v>
      </c>
      <c r="N613" t="str" cm="1">
        <f t="array" ref="N613">_xlfn.IFS(I613="rob","Robusta",I613="exc","Excesla",I613="ara","Arabica",I613="lib","Liberica")</f>
        <v>Excesla</v>
      </c>
      <c r="O613" t="str" cm="1">
        <f t="array" ref="O613">_xlfn.IFS(J613="m","Medium",J613="l","Light",J613="d","Dark")</f>
        <v>Light</v>
      </c>
      <c r="P613" t="str">
        <f>_xlfn.XLOOKUP(orders[[#This Row],[Customer ID]],customers!$A$2:$A$1001,customers!$I$2:$I$1001,,0)</f>
        <v>No</v>
      </c>
    </row>
    <row r="614" spans="1:16" x14ac:dyDescent="0.3">
      <c r="A614" s="2" t="s">
        <v>3945</v>
      </c>
      <c r="B614" s="6">
        <v>43896</v>
      </c>
      <c r="C614" s="2" t="s">
        <v>3946</v>
      </c>
      <c r="D614" t="s">
        <v>6152</v>
      </c>
      <c r="E614" s="2">
        <v>4</v>
      </c>
      <c r="F614" s="2" t="str">
        <f>_xlfn.XLOOKUP(C614,customers!$A$1:$A$1001,customers!$B$1:$B$1001,,0,1)</f>
        <v>Betti Lacasa</v>
      </c>
      <c r="G614" s="2" t="str">
        <f>IF((_xlfn.XLOOKUP(C614,customers!$A$2:$A$1001,customers!$C$2:$C$1001,,,)=0),"",(_xlfn.XLOOKUP(C614,customers!$A$2:$A$1001,customers!$C$2:$C$1001,,0,)))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9"/>
        <v>13.5</v>
      </c>
      <c r="N614" t="str" cm="1">
        <f t="array" ref="N614">_xlfn.IFS(I614="rob","Robusta",I614="exc","Excesla",I614="ara","Arabica",I614="lib","Liberica")</f>
        <v>Arabica</v>
      </c>
      <c r="O614" t="str" cm="1">
        <f t="array" ref="O614">_xlfn.IFS(J614="m","Medium",J614="l","Light",J614="d","Dark")</f>
        <v>Medium</v>
      </c>
      <c r="P614" t="str">
        <f>_xlfn.XLOOKUP(orders[[#This Row],[Customer ID]],customers!$A$2:$A$1001,customers!$I$2:$I$1001,,0)</f>
        <v>No</v>
      </c>
    </row>
    <row r="615" spans="1:16" x14ac:dyDescent="0.3">
      <c r="A615" s="2" t="s">
        <v>3950</v>
      </c>
      <c r="B615" s="6">
        <v>43761</v>
      </c>
      <c r="C615" s="2" t="s">
        <v>3951</v>
      </c>
      <c r="D615" t="s">
        <v>6146</v>
      </c>
      <c r="E615" s="2">
        <v>1</v>
      </c>
      <c r="F615" s="2" t="str">
        <f>_xlfn.XLOOKUP(C615,customers!$A$1:$A$1001,customers!$B$1:$B$1001,,0,1)</f>
        <v>Gunilla Lynch</v>
      </c>
      <c r="G615" s="2" t="str">
        <f>IF((_xlfn.XLOOKUP(C615,customers!$A$2:$A$1001,customers!$C$2:$C$1001,,,)=0),"",(_xlfn.XLOOKUP(C615,customers!$A$2:$A$1001,customers!$C$2:$C$1001,,0,)))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9"/>
        <v>5.97</v>
      </c>
      <c r="N615" t="str" cm="1">
        <f t="array" ref="N615">_xlfn.IFS(I615="rob","Robusta",I615="exc","Excesla",I615="ara","Arabica",I615="lib","Liberica")</f>
        <v>Robusta</v>
      </c>
      <c r="O615" t="str" cm="1">
        <f t="array" ref="O615">_xlfn.IFS(J615="m","Medium",J615="l","Light",J615="d","Dark")</f>
        <v>Medium</v>
      </c>
      <c r="P615" t="str">
        <f>_xlfn.XLOOKUP(orders[[#This Row],[Customer ID]],customers!$A$2:$A$1001,customers!$I$2:$I$1001,,0)</f>
        <v>No</v>
      </c>
    </row>
    <row r="616" spans="1:16" x14ac:dyDescent="0.3">
      <c r="A616" s="2" t="s">
        <v>3955</v>
      </c>
      <c r="B616" s="6">
        <v>43944</v>
      </c>
      <c r="C616" s="2" t="s">
        <v>3840</v>
      </c>
      <c r="D616" t="s">
        <v>6146</v>
      </c>
      <c r="E616" s="2">
        <v>5</v>
      </c>
      <c r="F616" s="2" t="str">
        <f>_xlfn.XLOOKUP(C616,customers!$A$1:$A$1001,customers!$B$1:$B$1001,,0,1)</f>
        <v>Cody Verissimo</v>
      </c>
      <c r="G616" s="2" t="str">
        <f>IF((_xlfn.XLOOKUP(C616,customers!$A$2:$A$1001,customers!$C$2:$C$1001,,,)=0),"",(_xlfn.XLOOKUP(C616,customers!$A$2:$A$1001,customers!$C$2:$C$1001,,0,)))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9"/>
        <v>29.849999999999998</v>
      </c>
      <c r="N616" t="str" cm="1">
        <f t="array" ref="N616">_xlfn.IFS(I616="rob","Robusta",I616="exc","Excesla",I616="ara","Arabica",I616="lib","Liberica")</f>
        <v>Robusta</v>
      </c>
      <c r="O616" t="str" cm="1">
        <f t="array" ref="O616">_xlfn.IFS(J616="m","Medium",J616="l","Light",J616="d","Dark")</f>
        <v>Medium</v>
      </c>
      <c r="P616" t="str">
        <f>_xlfn.XLOOKUP(orders[[#This Row],[Customer ID]],customers!$A$2:$A$1001,customers!$I$2:$I$1001,,0)</f>
        <v>Yes</v>
      </c>
    </row>
    <row r="617" spans="1:16" x14ac:dyDescent="0.3">
      <c r="A617" s="2" t="s">
        <v>3960</v>
      </c>
      <c r="B617" s="6">
        <v>44006</v>
      </c>
      <c r="C617" s="2" t="s">
        <v>3961</v>
      </c>
      <c r="D617" t="s">
        <v>6164</v>
      </c>
      <c r="E617" s="2">
        <v>2</v>
      </c>
      <c r="F617" s="2" t="str">
        <f>_xlfn.XLOOKUP(C617,customers!$A$1:$A$1001,customers!$B$1:$B$1001,,0,1)</f>
        <v>Shay Couronne</v>
      </c>
      <c r="G617" s="2" t="str">
        <f>IF((_xlfn.XLOOKUP(C617,customers!$A$2:$A$1001,customers!$C$2:$C$1001,,,)=0),"",(_xlfn.XLOOKUP(C617,customers!$A$2:$A$1001,customers!$C$2:$C$1001,,0,)))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9"/>
        <v>72.91</v>
      </c>
      <c r="N617" t="str" cm="1">
        <f t="array" ref="N617">_xlfn.IFS(I617="rob","Robusta",I617="exc","Excesla",I617="ara","Arabica",I617="lib","Liberica")</f>
        <v>Liberica</v>
      </c>
      <c r="O617" t="str" cm="1">
        <f t="array" ref="O617">_xlfn.IFS(J617="m","Medium",J617="l","Light",J617="d","Dark")</f>
        <v>Light</v>
      </c>
      <c r="P617" t="str">
        <f>_xlfn.XLOOKUP(orders[[#This Row],[Customer ID]],customers!$A$2:$A$1001,customers!$I$2:$I$1001,,0)</f>
        <v>Yes</v>
      </c>
    </row>
    <row r="618" spans="1:16" x14ac:dyDescent="0.3">
      <c r="A618" s="2" t="s">
        <v>3966</v>
      </c>
      <c r="B618" s="6">
        <v>44271</v>
      </c>
      <c r="C618" s="2" t="s">
        <v>3967</v>
      </c>
      <c r="D618" t="s">
        <v>6166</v>
      </c>
      <c r="E618" s="2">
        <v>4</v>
      </c>
      <c r="F618" s="2" t="str">
        <f>_xlfn.XLOOKUP(C618,customers!$A$1:$A$1001,customers!$B$1:$B$1001,,0,1)</f>
        <v>Linus Flippelli</v>
      </c>
      <c r="G618" s="2" t="str">
        <f>IF((_xlfn.XLOOKUP(C618,customers!$A$2:$A$1001,customers!$C$2:$C$1001,,,)=0),"",(_xlfn.XLOOKUP(C618,customers!$A$2:$A$1001,customers!$C$2:$C$1001,,0,)))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9"/>
        <v>126.49999999999999</v>
      </c>
      <c r="N618" t="str" cm="1">
        <f t="array" ref="N618">_xlfn.IFS(I618="rob","Robusta",I618="exc","Excesla",I618="ara","Arabica",I618="lib","Liberica")</f>
        <v>Excesla</v>
      </c>
      <c r="O618" t="str" cm="1">
        <f t="array" ref="O618">_xlfn.IFS(J618="m","Medium",J618="l","Light",J618="d","Dark")</f>
        <v>Medium</v>
      </c>
      <c r="P618" t="str">
        <f>_xlfn.XLOOKUP(orders[[#This Row],[Customer ID]],customers!$A$2:$A$1001,customers!$I$2:$I$1001,,0)</f>
        <v>No</v>
      </c>
    </row>
    <row r="619" spans="1:16" x14ac:dyDescent="0.3">
      <c r="A619" s="2" t="s">
        <v>3972</v>
      </c>
      <c r="B619" s="6">
        <v>43928</v>
      </c>
      <c r="C619" s="2" t="s">
        <v>3973</v>
      </c>
      <c r="D619" t="s">
        <v>6181</v>
      </c>
      <c r="E619" s="2">
        <v>1</v>
      </c>
      <c r="F619" s="2" t="str">
        <f>_xlfn.XLOOKUP(C619,customers!$A$1:$A$1001,customers!$B$1:$B$1001,,0,1)</f>
        <v>Rachelle Elizabeth</v>
      </c>
      <c r="G619" s="2" t="str">
        <f>IF((_xlfn.XLOOKUP(C619,customers!$A$2:$A$1001,customers!$C$2:$C$1001,,,)=0),"",(_xlfn.XLOOKUP(C619,customers!$A$2:$A$1001,customers!$C$2:$C$1001,,0,)))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9"/>
        <v>33.464999999999996</v>
      </c>
      <c r="N619" t="str" cm="1">
        <f t="array" ref="N619">_xlfn.IFS(I619="rob","Robusta",I619="exc","Excesla",I619="ara","Arabica",I619="lib","Liberica")</f>
        <v>Liberica</v>
      </c>
      <c r="O619" t="str" cm="1">
        <f t="array" ref="O619">_xlfn.IFS(J619="m","Medium",J619="l","Light",J619="d","Dark")</f>
        <v>Medium</v>
      </c>
      <c r="P619" t="str">
        <f>_xlfn.XLOOKUP(orders[[#This Row],[Customer ID]],customers!$A$2:$A$1001,customers!$I$2:$I$1001,,0)</f>
        <v>No</v>
      </c>
    </row>
    <row r="620" spans="1:16" x14ac:dyDescent="0.3">
      <c r="A620" s="2" t="s">
        <v>3978</v>
      </c>
      <c r="B620" s="6">
        <v>44469</v>
      </c>
      <c r="C620" s="2" t="s">
        <v>3979</v>
      </c>
      <c r="D620" t="s">
        <v>6183</v>
      </c>
      <c r="E620" s="2">
        <v>6</v>
      </c>
      <c r="F620" s="2" t="str">
        <f>_xlfn.XLOOKUP(C620,customers!$A$1:$A$1001,customers!$B$1:$B$1001,,0,1)</f>
        <v>Innis Renhard</v>
      </c>
      <c r="G620" s="2" t="str">
        <f>IF((_xlfn.XLOOKUP(C620,customers!$A$2:$A$1001,customers!$C$2:$C$1001,,,)=0),"",(_xlfn.XLOOKUP(C620,customers!$A$2:$A$1001,customers!$C$2:$C$1001,,0,)))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9"/>
        <v>72.900000000000006</v>
      </c>
      <c r="N620" t="str" cm="1">
        <f t="array" ref="N620">_xlfn.IFS(I620="rob","Robusta",I620="exc","Excesla",I620="ara","Arabica",I620="lib","Liberica")</f>
        <v>Excesla</v>
      </c>
      <c r="O620" t="str" cm="1">
        <f t="array" ref="O620">_xlfn.IFS(J620="m","Medium",J620="l","Light",J620="d","Dark")</f>
        <v>Dark</v>
      </c>
      <c r="P620" t="str">
        <f>_xlfn.XLOOKUP(orders[[#This Row],[Customer ID]],customers!$A$2:$A$1001,customers!$I$2:$I$1001,,0)</f>
        <v>Yes</v>
      </c>
    </row>
    <row r="621" spans="1:16" x14ac:dyDescent="0.3">
      <c r="A621" s="2" t="s">
        <v>3984</v>
      </c>
      <c r="B621" s="6">
        <v>44682</v>
      </c>
      <c r="C621" s="2" t="s">
        <v>3985</v>
      </c>
      <c r="D621" t="s">
        <v>6169</v>
      </c>
      <c r="E621" s="2">
        <v>2</v>
      </c>
      <c r="F621" s="2" t="str">
        <f>_xlfn.XLOOKUP(C621,customers!$A$1:$A$1001,customers!$B$1:$B$1001,,0,1)</f>
        <v>Winne Roche</v>
      </c>
      <c r="G621" s="2" t="str">
        <f>IF((_xlfn.XLOOKUP(C621,customers!$A$2:$A$1001,customers!$C$2:$C$1001,,,)=0),"",(_xlfn.XLOOKUP(C621,customers!$A$2:$A$1001,customers!$C$2:$C$1001,,0,)))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9"/>
        <v>15.54</v>
      </c>
      <c r="N621" t="str" cm="1">
        <f t="array" ref="N621">_xlfn.IFS(I621="rob","Robusta",I621="exc","Excesla",I621="ara","Arabica",I621="lib","Liberica")</f>
        <v>Liberica</v>
      </c>
      <c r="O621" t="str" cm="1">
        <f t="array" ref="O621">_xlfn.IFS(J621="m","Medium",J621="l","Light",J621="d","Dark")</f>
        <v>Dark</v>
      </c>
      <c r="P621" t="str">
        <f>_xlfn.XLOOKUP(orders[[#This Row],[Customer ID]],customers!$A$2:$A$1001,customers!$I$2:$I$1001,,0)</f>
        <v>Yes</v>
      </c>
    </row>
    <row r="622" spans="1:16" x14ac:dyDescent="0.3">
      <c r="A622" s="2" t="s">
        <v>3990</v>
      </c>
      <c r="B622" s="6">
        <v>44217</v>
      </c>
      <c r="C622" s="2" t="s">
        <v>4042</v>
      </c>
      <c r="D622" t="s">
        <v>6152</v>
      </c>
      <c r="E622" s="2">
        <v>6</v>
      </c>
      <c r="F622" s="2" t="str">
        <f>_xlfn.XLOOKUP(C622,customers!$A$1:$A$1001,customers!$B$1:$B$1001,,0,1)</f>
        <v>Linn Alaway</v>
      </c>
      <c r="G622" s="2" t="str">
        <f>IF((_xlfn.XLOOKUP(C622,customers!$A$2:$A$1001,customers!$C$2:$C$1001,,,)=0),"",(_xlfn.XLOOKUP(C622,customers!$A$2:$A$1001,customers!$C$2:$C$1001,,0,)))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9"/>
        <v>20.25</v>
      </c>
      <c r="N622" t="str" cm="1">
        <f t="array" ref="N622">_xlfn.IFS(I622="rob","Robusta",I622="exc","Excesla",I622="ara","Arabica",I622="lib","Liberica")</f>
        <v>Arabica</v>
      </c>
      <c r="O622" t="str" cm="1">
        <f t="array" ref="O622">_xlfn.IFS(J622="m","Medium",J622="l","Light",J622="d","Dark")</f>
        <v>Medium</v>
      </c>
      <c r="P622" t="str">
        <f>_xlfn.XLOOKUP(orders[[#This Row],[Customer ID]],customers!$A$2:$A$1001,customers!$I$2:$I$1001,,0)</f>
        <v>No</v>
      </c>
    </row>
    <row r="623" spans="1:16" x14ac:dyDescent="0.3">
      <c r="A623" s="2" t="s">
        <v>3996</v>
      </c>
      <c r="B623" s="6">
        <v>44006</v>
      </c>
      <c r="C623" s="2" t="s">
        <v>3997</v>
      </c>
      <c r="D623" t="s">
        <v>6140</v>
      </c>
      <c r="E623" s="2">
        <v>6</v>
      </c>
      <c r="F623" s="2" t="str">
        <f>_xlfn.XLOOKUP(C623,customers!$A$1:$A$1001,customers!$B$1:$B$1001,,0,1)</f>
        <v>Cordy Odgaard</v>
      </c>
      <c r="G623" s="2" t="str">
        <f>IF((_xlfn.XLOOKUP(C623,customers!$A$2:$A$1001,customers!$C$2:$C$1001,,,)=0),"",(_xlfn.XLOOKUP(C623,customers!$A$2:$A$1001,customers!$C$2:$C$1001,,0,)))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9"/>
        <v>77.699999999999989</v>
      </c>
      <c r="N623" t="str" cm="1">
        <f t="array" ref="N623">_xlfn.IFS(I623="rob","Robusta",I623="exc","Excesla",I623="ara","Arabica",I623="lib","Liberica")</f>
        <v>Arabica</v>
      </c>
      <c r="O623" t="str" cm="1">
        <f t="array" ref="O623">_xlfn.IFS(J623="m","Medium",J623="l","Light",J623="d","Dark")</f>
        <v>Light</v>
      </c>
      <c r="P623" t="str">
        <f>_xlfn.XLOOKUP(orders[[#This Row],[Customer ID]],customers!$A$2:$A$1001,customers!$I$2:$I$1001,,0)</f>
        <v>No</v>
      </c>
    </row>
    <row r="624" spans="1:16" x14ac:dyDescent="0.3">
      <c r="A624" s="2" t="s">
        <v>4002</v>
      </c>
      <c r="B624" s="6">
        <v>43527</v>
      </c>
      <c r="C624" s="2" t="s">
        <v>4003</v>
      </c>
      <c r="D624" t="s">
        <v>6181</v>
      </c>
      <c r="E624" s="2">
        <v>4</v>
      </c>
      <c r="F624" s="2" t="str">
        <f>_xlfn.XLOOKUP(C624,customers!$A$1:$A$1001,customers!$B$1:$B$1001,,0,1)</f>
        <v>Bertine Byrd</v>
      </c>
      <c r="G624" s="2" t="str">
        <f>IF((_xlfn.XLOOKUP(C624,customers!$A$2:$A$1001,customers!$C$2:$C$1001,,,)=0),"",(_xlfn.XLOOKUP(C624,customers!$A$2:$A$1001,customers!$C$2:$C$1001,,0,)))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9"/>
        <v>133.85999999999999</v>
      </c>
      <c r="N624" t="str" cm="1">
        <f t="array" ref="N624">_xlfn.IFS(I624="rob","Robusta",I624="exc","Excesla",I624="ara","Arabica",I624="lib","Liberica")</f>
        <v>Liberica</v>
      </c>
      <c r="O624" t="str" cm="1">
        <f t="array" ref="O624">_xlfn.IFS(J624="m","Medium",J624="l","Light",J624="d","Dark")</f>
        <v>Medium</v>
      </c>
      <c r="P624" t="str">
        <f>_xlfn.XLOOKUP(orders[[#This Row],[Customer ID]],customers!$A$2:$A$1001,customers!$I$2:$I$1001,,0)</f>
        <v>No</v>
      </c>
    </row>
    <row r="625" spans="1:16" x14ac:dyDescent="0.3">
      <c r="A625" s="2" t="s">
        <v>4007</v>
      </c>
      <c r="B625" s="6">
        <v>44224</v>
      </c>
      <c r="C625" s="2" t="s">
        <v>4008</v>
      </c>
      <c r="D625" t="s">
        <v>6183</v>
      </c>
      <c r="E625" s="2">
        <v>1</v>
      </c>
      <c r="F625" s="2" t="str">
        <f>_xlfn.XLOOKUP(C625,customers!$A$1:$A$1001,customers!$B$1:$B$1001,,0,1)</f>
        <v>Nelie Garnson</v>
      </c>
      <c r="G625" s="2" t="str">
        <f>IF((_xlfn.XLOOKUP(C625,customers!$A$2:$A$1001,customers!$C$2:$C$1001,,,)=0),"",(_xlfn.XLOOKUP(C625,customers!$A$2:$A$1001,customers!$C$2:$C$1001,,0,)))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9"/>
        <v>12.15</v>
      </c>
      <c r="N625" t="str" cm="1">
        <f t="array" ref="N625">_xlfn.IFS(I625="rob","Robusta",I625="exc","Excesla",I625="ara","Arabica",I625="lib","Liberica")</f>
        <v>Excesla</v>
      </c>
      <c r="O625" t="str" cm="1">
        <f t="array" ref="O625">_xlfn.IFS(J625="m","Medium",J625="l","Light",J625="d","Dark")</f>
        <v>Dark</v>
      </c>
      <c r="P625" t="str">
        <f>_xlfn.XLOOKUP(orders[[#This Row],[Customer ID]],customers!$A$2:$A$1001,customers!$I$2:$I$1001,,0)</f>
        <v>No</v>
      </c>
    </row>
    <row r="626" spans="1:16" x14ac:dyDescent="0.3">
      <c r="A626" s="2" t="s">
        <v>4012</v>
      </c>
      <c r="B626" s="6">
        <v>44010</v>
      </c>
      <c r="C626" s="2" t="s">
        <v>4013</v>
      </c>
      <c r="D626" t="s">
        <v>6166</v>
      </c>
      <c r="E626" s="2">
        <v>2</v>
      </c>
      <c r="F626" s="2" t="str">
        <f>_xlfn.XLOOKUP(C626,customers!$A$1:$A$1001,customers!$B$1:$B$1001,,0,1)</f>
        <v>Dianne Chardin</v>
      </c>
      <c r="G626" s="2" t="str">
        <f>IF((_xlfn.XLOOKUP(C626,customers!$A$2:$A$1001,customers!$C$2:$C$1001,,,)=0),"",(_xlfn.XLOOKUP(C626,customers!$A$2:$A$1001,customers!$C$2:$C$1001,,0,)))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9"/>
        <v>63.249999999999993</v>
      </c>
      <c r="N626" t="str" cm="1">
        <f t="array" ref="N626">_xlfn.IFS(I626="rob","Robusta",I626="exc","Excesla",I626="ara","Arabica",I626="lib","Liberica")</f>
        <v>Excesla</v>
      </c>
      <c r="O626" t="str" cm="1">
        <f t="array" ref="O626">_xlfn.IFS(J626="m","Medium",J626="l","Light",J626="d","Dark")</f>
        <v>Medium</v>
      </c>
      <c r="P626" t="str">
        <f>_xlfn.XLOOKUP(orders[[#This Row],[Customer ID]],customers!$A$2:$A$1001,customers!$I$2:$I$1001,,0)</f>
        <v>Yes</v>
      </c>
    </row>
    <row r="627" spans="1:16" x14ac:dyDescent="0.3">
      <c r="A627" s="2" t="s">
        <v>4017</v>
      </c>
      <c r="B627" s="6">
        <v>44017</v>
      </c>
      <c r="C627" s="2" t="s">
        <v>4018</v>
      </c>
      <c r="D627" t="s">
        <v>6173</v>
      </c>
      <c r="E627" s="2">
        <v>5</v>
      </c>
      <c r="F627" s="2" t="str">
        <f>_xlfn.XLOOKUP(C627,customers!$A$1:$A$1001,customers!$B$1:$B$1001,,0,1)</f>
        <v>Hailee Radbone</v>
      </c>
      <c r="G627" s="2" t="str">
        <f>IF((_xlfn.XLOOKUP(C627,customers!$A$2:$A$1001,customers!$C$2:$C$1001,,,)=0),"",(_xlfn.XLOOKUP(C627,customers!$A$2:$A$1001,customers!$C$2:$C$1001,,0,)))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9"/>
        <v>35.849999999999994</v>
      </c>
      <c r="N627" t="str" cm="1">
        <f t="array" ref="N627">_xlfn.IFS(I627="rob","Robusta",I627="exc","Excesla",I627="ara","Arabica",I627="lib","Liberica")</f>
        <v>Robusta</v>
      </c>
      <c r="O627" t="str" cm="1">
        <f t="array" ref="O627">_xlfn.IFS(J627="m","Medium",J627="l","Light",J627="d","Dark")</f>
        <v>Light</v>
      </c>
      <c r="P627" t="str">
        <f>_xlfn.XLOOKUP(orders[[#This Row],[Customer ID]],customers!$A$2:$A$1001,customers!$I$2:$I$1001,,0)</f>
        <v>No</v>
      </c>
    </row>
    <row r="628" spans="1:16" x14ac:dyDescent="0.3">
      <c r="A628" s="2" t="s">
        <v>4023</v>
      </c>
      <c r="B628" s="6">
        <v>43526</v>
      </c>
      <c r="C628" s="2" t="s">
        <v>4024</v>
      </c>
      <c r="D628" t="s">
        <v>6175</v>
      </c>
      <c r="E628" s="2">
        <v>3</v>
      </c>
      <c r="F628" s="2" t="str">
        <f>_xlfn.XLOOKUP(C628,customers!$A$1:$A$1001,customers!$B$1:$B$1001,,0,1)</f>
        <v>Wallis Bernth</v>
      </c>
      <c r="G628" s="2" t="str">
        <f>IF((_xlfn.XLOOKUP(C628,customers!$A$2:$A$1001,customers!$C$2:$C$1001,,,)=0),"",(_xlfn.XLOOKUP(C628,customers!$A$2:$A$1001,customers!$C$2:$C$1001,,0,)))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9"/>
        <v>77.624999999999986</v>
      </c>
      <c r="N628" t="str" cm="1">
        <f t="array" ref="N628">_xlfn.IFS(I628="rob","Robusta",I628="exc","Excesla",I628="ara","Arabica",I628="lib","Liberica")</f>
        <v>Arabica</v>
      </c>
      <c r="O628" t="str" cm="1">
        <f t="array" ref="O628">_xlfn.IFS(J628="m","Medium",J628="l","Light",J628="d","Dark")</f>
        <v>Medium</v>
      </c>
      <c r="P628" t="str">
        <f>_xlfn.XLOOKUP(orders[[#This Row],[Customer ID]],customers!$A$2:$A$1001,customers!$I$2:$I$1001,,0)</f>
        <v>No</v>
      </c>
    </row>
    <row r="629" spans="1:16" x14ac:dyDescent="0.3">
      <c r="A629" s="2" t="s">
        <v>4029</v>
      </c>
      <c r="B629" s="6">
        <v>44682</v>
      </c>
      <c r="C629" s="2" t="s">
        <v>4030</v>
      </c>
      <c r="D629" t="s">
        <v>6166</v>
      </c>
      <c r="E629" s="2">
        <v>2</v>
      </c>
      <c r="F629" s="2" t="str">
        <f>_xlfn.XLOOKUP(C629,customers!$A$1:$A$1001,customers!$B$1:$B$1001,,0,1)</f>
        <v>Byron Acarson</v>
      </c>
      <c r="G629" s="2" t="str">
        <f>IF((_xlfn.XLOOKUP(C629,customers!$A$2:$A$1001,customers!$C$2:$C$1001,,,)=0),"",(_xlfn.XLOOKUP(C629,customers!$A$2:$A$1001,customers!$C$2:$C$1001,,0,)))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9"/>
        <v>63.249999999999993</v>
      </c>
      <c r="N629" t="str" cm="1">
        <f t="array" ref="N629">_xlfn.IFS(I629="rob","Robusta",I629="exc","Excesla",I629="ara","Arabica",I629="lib","Liberica")</f>
        <v>Excesla</v>
      </c>
      <c r="O629" t="str" cm="1">
        <f t="array" ref="O629">_xlfn.IFS(J629="m","Medium",J629="l","Light",J629="d","Dark")</f>
        <v>Medium</v>
      </c>
      <c r="P629" t="str">
        <f>_xlfn.XLOOKUP(orders[[#This Row],[Customer ID]],customers!$A$2:$A$1001,customers!$I$2:$I$1001,,0)</f>
        <v>Yes</v>
      </c>
    </row>
    <row r="630" spans="1:16" x14ac:dyDescent="0.3">
      <c r="A630" s="2" t="s">
        <v>4035</v>
      </c>
      <c r="B630" s="6">
        <v>44680</v>
      </c>
      <c r="C630" s="2" t="s">
        <v>4036</v>
      </c>
      <c r="D630" t="s">
        <v>6184</v>
      </c>
      <c r="E630" s="2">
        <v>6</v>
      </c>
      <c r="F630" s="2" t="str">
        <f>_xlfn.XLOOKUP(C630,customers!$A$1:$A$1001,customers!$B$1:$B$1001,,0,1)</f>
        <v>Faunie Brigham</v>
      </c>
      <c r="G630" s="2" t="str">
        <f>IF((_xlfn.XLOOKUP(C630,customers!$A$2:$A$1001,customers!$C$2:$C$1001,,,)=0),"",(_xlfn.XLOOKUP(C630,customers!$A$2:$A$1001,customers!$C$2:$C$1001,,0,)))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9"/>
        <v>26.73</v>
      </c>
      <c r="N630" t="str" cm="1">
        <f t="array" ref="N630">_xlfn.IFS(I630="rob","Robusta",I630="exc","Excesla",I630="ara","Arabica",I630="lib","Liberica")</f>
        <v>Excesla</v>
      </c>
      <c r="O630" t="str" cm="1">
        <f t="array" ref="O630">_xlfn.IFS(J630="m","Medium",J630="l","Light",J630="d","Dark")</f>
        <v>Light</v>
      </c>
      <c r="P630" t="str">
        <f>_xlfn.XLOOKUP(orders[[#This Row],[Customer ID]],customers!$A$2:$A$1001,customers!$I$2:$I$1001,,0)</f>
        <v>Yes</v>
      </c>
    </row>
    <row r="631" spans="1:16" x14ac:dyDescent="0.3">
      <c r="A631" s="2" t="s">
        <v>4035</v>
      </c>
      <c r="B631" s="6">
        <v>44680</v>
      </c>
      <c r="C631" s="2" t="s">
        <v>4036</v>
      </c>
      <c r="D631" t="s">
        <v>6169</v>
      </c>
      <c r="E631" s="2">
        <v>4</v>
      </c>
      <c r="F631" s="2" t="str">
        <f>_xlfn.XLOOKUP(C631,customers!$A$1:$A$1001,customers!$B$1:$B$1001,,0,1)</f>
        <v>Faunie Brigham</v>
      </c>
      <c r="G631" s="2" t="str">
        <f>IF((_xlfn.XLOOKUP(C631,customers!$A$2:$A$1001,customers!$C$2:$C$1001,,,)=0),"",(_xlfn.XLOOKUP(C631,customers!$A$2:$A$1001,customers!$C$2:$C$1001,,0,)))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9"/>
        <v>31.08</v>
      </c>
      <c r="N631" t="str" cm="1">
        <f t="array" ref="N631">_xlfn.IFS(I631="rob","Robusta",I631="exc","Excesla",I631="ara","Arabica",I631="lib","Liberica")</f>
        <v>Liberica</v>
      </c>
      <c r="O631" t="str" cm="1">
        <f t="array" ref="O631">_xlfn.IFS(J631="m","Medium",J631="l","Light",J631="d","Dark")</f>
        <v>Dark</v>
      </c>
      <c r="P631" t="str">
        <f>_xlfn.XLOOKUP(orders[[#This Row],[Customer ID]],customers!$A$2:$A$1001,customers!$I$2:$I$1001,,0)</f>
        <v>Yes</v>
      </c>
    </row>
    <row r="632" spans="1:16" x14ac:dyDescent="0.3">
      <c r="A632" s="2" t="s">
        <v>4035</v>
      </c>
      <c r="B632" s="6">
        <v>44680</v>
      </c>
      <c r="C632" s="2" t="s">
        <v>4036</v>
      </c>
      <c r="D632" t="s">
        <v>6154</v>
      </c>
      <c r="E632" s="2">
        <v>1</v>
      </c>
      <c r="F632" s="2" t="str">
        <f>_xlfn.XLOOKUP(C632,customers!$A$1:$A$1001,customers!$B$1:$B$1001,,0,1)</f>
        <v>Faunie Brigham</v>
      </c>
      <c r="G632" s="2" t="str">
        <f>IF((_xlfn.XLOOKUP(C632,customers!$A$2:$A$1001,customers!$C$2:$C$1001,,,)=0),"",(_xlfn.XLOOKUP(C632,customers!$A$2:$A$1001,customers!$C$2:$C$1001,,0,)))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9"/>
        <v>2.9849999999999999</v>
      </c>
      <c r="N632" t="str" cm="1">
        <f t="array" ref="N632">_xlfn.IFS(I632="rob","Robusta",I632="exc","Excesla",I632="ara","Arabica",I632="lib","Liberica")</f>
        <v>Arabica</v>
      </c>
      <c r="O632" t="str" cm="1">
        <f t="array" ref="O632">_xlfn.IFS(J632="m","Medium",J632="l","Light",J632="d","Dark")</f>
        <v>Dark</v>
      </c>
      <c r="P632" t="str">
        <f>_xlfn.XLOOKUP(orders[[#This Row],[Customer ID]],customers!$A$2:$A$1001,customers!$I$2:$I$1001,,0)</f>
        <v>Yes</v>
      </c>
    </row>
    <row r="633" spans="1:16" x14ac:dyDescent="0.3">
      <c r="A633" s="2" t="s">
        <v>4035</v>
      </c>
      <c r="B633" s="6">
        <v>44680</v>
      </c>
      <c r="C633" s="2" t="s">
        <v>4036</v>
      </c>
      <c r="D633" t="s">
        <v>6149</v>
      </c>
      <c r="E633" s="2">
        <v>5</v>
      </c>
      <c r="F633" s="2" t="str">
        <f>_xlfn.XLOOKUP(C633,customers!$A$1:$A$1001,customers!$B$1:$B$1001,,0,1)</f>
        <v>Faunie Brigham</v>
      </c>
      <c r="G633" s="2" t="str">
        <f>IF((_xlfn.XLOOKUP(C633,customers!$A$2:$A$1001,customers!$C$2:$C$1001,,,)=0),"",(_xlfn.XLOOKUP(C633,customers!$A$2:$A$1001,customers!$C$2:$C$1001,,0,)))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9"/>
        <v>102.92499999999998</v>
      </c>
      <c r="N633" t="str" cm="1">
        <f t="array" ref="N633">_xlfn.IFS(I633="rob","Robusta",I633="exc","Excesla",I633="ara","Arabica",I633="lib","Liberica")</f>
        <v>Robusta</v>
      </c>
      <c r="O633" t="str" cm="1">
        <f t="array" ref="O633">_xlfn.IFS(J633="m","Medium",J633="l","Light",J633="d","Dark")</f>
        <v>Dark</v>
      </c>
      <c r="P633" t="str">
        <f>_xlfn.XLOOKUP(orders[[#This Row],[Customer ID]],customers!$A$2:$A$1001,customers!$I$2:$I$1001,,0)</f>
        <v>Yes</v>
      </c>
    </row>
    <row r="634" spans="1:16" x14ac:dyDescent="0.3">
      <c r="A634" s="2" t="s">
        <v>4056</v>
      </c>
      <c r="B634" s="6">
        <v>44049</v>
      </c>
      <c r="C634" s="2" t="s">
        <v>4057</v>
      </c>
      <c r="D634" t="s">
        <v>6176</v>
      </c>
      <c r="E634" s="2">
        <v>4</v>
      </c>
      <c r="F634" s="2" t="str">
        <f>_xlfn.XLOOKUP(C634,customers!$A$1:$A$1001,customers!$B$1:$B$1001,,0,1)</f>
        <v>Marjorie Yoxen</v>
      </c>
      <c r="G634" s="2" t="str">
        <f>IF((_xlfn.XLOOKUP(C634,customers!$A$2:$A$1001,customers!$C$2:$C$1001,,,)=0),"",(_xlfn.XLOOKUP(C634,customers!$A$2:$A$1001,customers!$C$2:$C$1001,,0,)))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9"/>
        <v>35.64</v>
      </c>
      <c r="N634" t="str" cm="1">
        <f t="array" ref="N634">_xlfn.IFS(I634="rob","Robusta",I634="exc","Excesla",I634="ara","Arabica",I634="lib","Liberica")</f>
        <v>Excesla</v>
      </c>
      <c r="O634" t="str" cm="1">
        <f t="array" ref="O634">_xlfn.IFS(J634="m","Medium",J634="l","Light",J634="d","Dark")</f>
        <v>Light</v>
      </c>
      <c r="P634" t="str">
        <f>_xlfn.XLOOKUP(orders[[#This Row],[Customer ID]],customers!$A$2:$A$1001,customers!$I$2:$I$1001,,0)</f>
        <v>No</v>
      </c>
    </row>
    <row r="635" spans="1:16" x14ac:dyDescent="0.3">
      <c r="A635" s="2" t="s">
        <v>4062</v>
      </c>
      <c r="B635" s="6">
        <v>43820</v>
      </c>
      <c r="C635" s="2" t="s">
        <v>4063</v>
      </c>
      <c r="D635" t="s">
        <v>6179</v>
      </c>
      <c r="E635" s="2">
        <v>4</v>
      </c>
      <c r="F635" s="2" t="str">
        <f>_xlfn.XLOOKUP(C635,customers!$A$1:$A$1001,customers!$B$1:$B$1001,,0,1)</f>
        <v>Gaspar McGavin</v>
      </c>
      <c r="G635" s="2" t="str">
        <f>IF((_xlfn.XLOOKUP(C635,customers!$A$2:$A$1001,customers!$C$2:$C$1001,,,)=0),"",(_xlfn.XLOOKUP(C635,customers!$A$2:$A$1001,customers!$C$2:$C$1001,,0,)))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9"/>
        <v>47.8</v>
      </c>
      <c r="N635" t="str" cm="1">
        <f t="array" ref="N635">_xlfn.IFS(I635="rob","Robusta",I635="exc","Excesla",I635="ara","Arabica",I635="lib","Liberica")</f>
        <v>Robusta</v>
      </c>
      <c r="O635" t="str" cm="1">
        <f t="array" ref="O635">_xlfn.IFS(J635="m","Medium",J635="l","Light",J635="d","Dark")</f>
        <v>Light</v>
      </c>
      <c r="P635" t="str">
        <f>_xlfn.XLOOKUP(orders[[#This Row],[Customer ID]],customers!$A$2:$A$1001,customers!$I$2:$I$1001,,0)</f>
        <v>No</v>
      </c>
    </row>
    <row r="636" spans="1:16" x14ac:dyDescent="0.3">
      <c r="A636" s="2" t="s">
        <v>4068</v>
      </c>
      <c r="B636" s="6">
        <v>43940</v>
      </c>
      <c r="C636" s="2" t="s">
        <v>4069</v>
      </c>
      <c r="D636" t="s">
        <v>6162</v>
      </c>
      <c r="E636" s="2">
        <v>3</v>
      </c>
      <c r="F636" s="2" t="str">
        <f>_xlfn.XLOOKUP(C636,customers!$A$1:$A$1001,customers!$B$1:$B$1001,,0,1)</f>
        <v>Lindy Uttermare</v>
      </c>
      <c r="G636" s="2" t="str">
        <f>IF((_xlfn.XLOOKUP(C636,customers!$A$2:$A$1001,customers!$C$2:$C$1001,,,)=0),"",(_xlfn.XLOOKUP(C636,customers!$A$2:$A$1001,customers!$C$2:$C$1001,,0,)))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9"/>
        <v>43.650000000000006</v>
      </c>
      <c r="N636" t="str" cm="1">
        <f t="array" ref="N636">_xlfn.IFS(I636="rob","Robusta",I636="exc","Excesla",I636="ara","Arabica",I636="lib","Liberica")</f>
        <v>Liberica</v>
      </c>
      <c r="O636" t="str" cm="1">
        <f t="array" ref="O636">_xlfn.IFS(J636="m","Medium",J636="l","Light",J636="d","Dark")</f>
        <v>Medium</v>
      </c>
      <c r="P636" t="str">
        <f>_xlfn.XLOOKUP(orders[[#This Row],[Customer ID]],customers!$A$2:$A$1001,customers!$I$2:$I$1001,,0)</f>
        <v>No</v>
      </c>
    </row>
    <row r="637" spans="1:16" x14ac:dyDescent="0.3">
      <c r="A637" s="2" t="s">
        <v>4074</v>
      </c>
      <c r="B637" s="6">
        <v>44578</v>
      </c>
      <c r="C637" s="2" t="s">
        <v>4075</v>
      </c>
      <c r="D637" t="s">
        <v>6176</v>
      </c>
      <c r="E637" s="2">
        <v>4</v>
      </c>
      <c r="F637" s="2" t="str">
        <f>_xlfn.XLOOKUP(C637,customers!$A$1:$A$1001,customers!$B$1:$B$1001,,0,1)</f>
        <v>Eal D'Ambrogio</v>
      </c>
      <c r="G637" s="2" t="str">
        <f>IF((_xlfn.XLOOKUP(C637,customers!$A$2:$A$1001,customers!$C$2:$C$1001,,,)=0),"",(_xlfn.XLOOKUP(C637,customers!$A$2:$A$1001,customers!$C$2:$C$1001,,0,)))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9"/>
        <v>35.64</v>
      </c>
      <c r="N637" t="str" cm="1">
        <f t="array" ref="N637">_xlfn.IFS(I637="rob","Robusta",I637="exc","Excesla",I637="ara","Arabica",I637="lib","Liberica")</f>
        <v>Excesla</v>
      </c>
      <c r="O637" t="str" cm="1">
        <f t="array" ref="O637">_xlfn.IFS(J637="m","Medium",J637="l","Light",J637="d","Dark")</f>
        <v>Light</v>
      </c>
      <c r="P637" t="str">
        <f>_xlfn.XLOOKUP(orders[[#This Row],[Customer ID]],customers!$A$2:$A$1001,customers!$I$2:$I$1001,,0)</f>
        <v>Yes</v>
      </c>
    </row>
    <row r="638" spans="1:16" x14ac:dyDescent="0.3">
      <c r="A638" s="2" t="s">
        <v>4080</v>
      </c>
      <c r="B638" s="6">
        <v>43487</v>
      </c>
      <c r="C638" s="2" t="s">
        <v>4081</v>
      </c>
      <c r="D638" t="s">
        <v>6170</v>
      </c>
      <c r="E638" s="2">
        <v>6</v>
      </c>
      <c r="F638" s="2" t="str">
        <f>_xlfn.XLOOKUP(C638,customers!$A$1:$A$1001,customers!$B$1:$B$1001,,0,1)</f>
        <v>Carolee Winchcombe</v>
      </c>
      <c r="G638" s="2" t="str">
        <f>IF((_xlfn.XLOOKUP(C638,customers!$A$2:$A$1001,customers!$C$2:$C$1001,,,)=0),"",(_xlfn.XLOOKUP(C638,customers!$A$2:$A$1001,customers!$C$2:$C$1001,,0,)))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9"/>
        <v>95.1</v>
      </c>
      <c r="N638" t="str" cm="1">
        <f t="array" ref="N638">_xlfn.IFS(I638="rob","Robusta",I638="exc","Excesla",I638="ara","Arabica",I638="lib","Liberica")</f>
        <v>Liberica</v>
      </c>
      <c r="O638" t="str" cm="1">
        <f t="array" ref="O638">_xlfn.IFS(J638="m","Medium",J638="l","Light",J638="d","Dark")</f>
        <v>Light</v>
      </c>
      <c r="P638" t="str">
        <f>_xlfn.XLOOKUP(orders[[#This Row],[Customer ID]],customers!$A$2:$A$1001,customers!$I$2:$I$1001,,0)</f>
        <v>Yes</v>
      </c>
    </row>
    <row r="639" spans="1:16" x14ac:dyDescent="0.3">
      <c r="A639" s="2" t="s">
        <v>4086</v>
      </c>
      <c r="B639" s="6">
        <v>43889</v>
      </c>
      <c r="C639" s="2" t="s">
        <v>4087</v>
      </c>
      <c r="D639" t="s">
        <v>6166</v>
      </c>
      <c r="E639" s="2">
        <v>1</v>
      </c>
      <c r="F639" s="2" t="str">
        <f>_xlfn.XLOOKUP(C639,customers!$A$1:$A$1001,customers!$B$1:$B$1001,,0,1)</f>
        <v>Benedikta Paumier</v>
      </c>
      <c r="G639" s="2" t="str">
        <f>IF((_xlfn.XLOOKUP(C639,customers!$A$2:$A$1001,customers!$C$2:$C$1001,,,)=0),"",(_xlfn.XLOOKUP(C639,customers!$A$2:$A$1001,customers!$C$2:$C$1001,,0,)))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9"/>
        <v>31.624999999999996</v>
      </c>
      <c r="N639" t="str" cm="1">
        <f t="array" ref="N639">_xlfn.IFS(I639="rob","Robusta",I639="exc","Excesla",I639="ara","Arabica",I639="lib","Liberica")</f>
        <v>Excesla</v>
      </c>
      <c r="O639" t="str" cm="1">
        <f t="array" ref="O639">_xlfn.IFS(J639="m","Medium",J639="l","Light",J639="d","Dark")</f>
        <v>Medium</v>
      </c>
      <c r="P639" t="str">
        <f>_xlfn.XLOOKUP(orders[[#This Row],[Customer ID]],customers!$A$2:$A$1001,customers!$I$2:$I$1001,,0)</f>
        <v>Yes</v>
      </c>
    </row>
    <row r="640" spans="1:16" x14ac:dyDescent="0.3">
      <c r="A640" s="2" t="s">
        <v>4093</v>
      </c>
      <c r="B640" s="6">
        <v>43684</v>
      </c>
      <c r="C640" s="2" t="s">
        <v>4094</v>
      </c>
      <c r="D640" t="s">
        <v>6175</v>
      </c>
      <c r="E640" s="2">
        <v>3</v>
      </c>
      <c r="F640" s="2" t="str">
        <f>_xlfn.XLOOKUP(C640,customers!$A$1:$A$1001,customers!$B$1:$B$1001,,0,1)</f>
        <v>Neville Piatto</v>
      </c>
      <c r="G640" s="2" t="str">
        <f>IF((_xlfn.XLOOKUP(C640,customers!$A$2:$A$1001,customers!$C$2:$C$1001,,,)=0),"",(_xlfn.XLOOKUP(C640,customers!$A$2:$A$1001,customers!$C$2:$C$1001,,0,)))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9"/>
        <v>77.624999999999986</v>
      </c>
      <c r="N640" t="str" cm="1">
        <f t="array" ref="N640">_xlfn.IFS(I640="rob","Robusta",I640="exc","Excesla",I640="ara","Arabica",I640="lib","Liberica")</f>
        <v>Arabica</v>
      </c>
      <c r="O640" t="str" cm="1">
        <f t="array" ref="O640">_xlfn.IFS(J640="m","Medium",J640="l","Light",J640="d","Dark")</f>
        <v>Medium</v>
      </c>
      <c r="P640" t="str">
        <f>_xlfn.XLOOKUP(orders[[#This Row],[Customer ID]],customers!$A$2:$A$1001,customers!$I$2:$I$1001,,0)</f>
        <v>Yes</v>
      </c>
    </row>
    <row r="641" spans="1:16" x14ac:dyDescent="0.3">
      <c r="A641" s="2" t="s">
        <v>4098</v>
      </c>
      <c r="B641" s="6">
        <v>44331</v>
      </c>
      <c r="C641" s="2" t="s">
        <v>4099</v>
      </c>
      <c r="D641" t="s">
        <v>6150</v>
      </c>
      <c r="E641" s="2">
        <v>1</v>
      </c>
      <c r="F641" s="2" t="str">
        <f>_xlfn.XLOOKUP(C641,customers!$A$1:$A$1001,customers!$B$1:$B$1001,,0,1)</f>
        <v>Jeno Capey</v>
      </c>
      <c r="G641" s="2" t="str">
        <f>IF((_xlfn.XLOOKUP(C641,customers!$A$2:$A$1001,customers!$C$2:$C$1001,,,)=0),"",(_xlfn.XLOOKUP(C641,customers!$A$2:$A$1001,customers!$C$2:$C$1001,,0,)))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9"/>
        <v>3.8849999999999998</v>
      </c>
      <c r="N641" t="str" cm="1">
        <f t="array" ref="N641">_xlfn.IFS(I641="rob","Robusta",I641="exc","Excesla",I641="ara","Arabica",I641="lib","Liberica")</f>
        <v>Liberica</v>
      </c>
      <c r="O641" t="str" cm="1">
        <f t="array" ref="O641">_xlfn.IFS(J641="m","Medium",J641="l","Light",J641="d","Dark")</f>
        <v>Dark</v>
      </c>
      <c r="P641" t="str">
        <f>_xlfn.XLOOKUP(orders[[#This Row],[Customer ID]],customers!$A$2:$A$1001,customers!$I$2:$I$1001,,0)</f>
        <v>Yes</v>
      </c>
    </row>
    <row r="642" spans="1:16" x14ac:dyDescent="0.3">
      <c r="A642" s="2" t="s">
        <v>4104</v>
      </c>
      <c r="B642" s="6">
        <v>44547</v>
      </c>
      <c r="C642" s="2" t="s">
        <v>4152</v>
      </c>
      <c r="D642" t="s">
        <v>6142</v>
      </c>
      <c r="E642" s="2">
        <v>5</v>
      </c>
      <c r="F642" s="2" t="str">
        <f>_xlfn.XLOOKUP(C642,customers!$A$1:$A$1001,customers!$B$1:$B$1001,,0,1)</f>
        <v>Tuckie Mathonnet</v>
      </c>
      <c r="G642" s="2" t="str">
        <f>IF((_xlfn.XLOOKUP(C642,customers!$A$2:$A$1001,customers!$C$2:$C$1001,,,)=0),"",(_xlfn.XLOOKUP(C642,customers!$A$2:$A$1001,customers!$C$2:$C$1001,,0,)))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9"/>
        <v>137.42499999999998</v>
      </c>
      <c r="N642" t="str" cm="1">
        <f t="array" ref="N642">_xlfn.IFS(I642="rob","Robusta",I642="exc","Excesla",I642="ara","Arabica",I642="lib","Liberica")</f>
        <v>Robusta</v>
      </c>
      <c r="O642" t="str" cm="1">
        <f t="array" ref="O642">_xlfn.IFS(J642="m","Medium",J642="l","Light",J642="d","Dark")</f>
        <v>Light</v>
      </c>
      <c r="P642" t="str">
        <f>_xlfn.XLOOKUP(orders[[#This Row],[Customer ID]],customers!$A$2:$A$1001,customers!$I$2:$I$1001,,0)</f>
        <v>No</v>
      </c>
    </row>
    <row r="643" spans="1:16" x14ac:dyDescent="0.3">
      <c r="A643" s="2" t="s">
        <v>4109</v>
      </c>
      <c r="B643" s="6">
        <v>44448</v>
      </c>
      <c r="C643" s="2" t="s">
        <v>4110</v>
      </c>
      <c r="D643" t="s">
        <v>6179</v>
      </c>
      <c r="E643" s="2">
        <v>3</v>
      </c>
      <c r="F643" s="2" t="str">
        <f>_xlfn.XLOOKUP(C643,customers!$A$1:$A$1001,customers!$B$1:$B$1001,,0,1)</f>
        <v>Yardley Basill</v>
      </c>
      <c r="G643" s="2" t="str">
        <f>IF((_xlfn.XLOOKUP(C643,customers!$A$2:$A$1001,customers!$C$2:$C$1001,,,)=0),"",(_xlfn.XLOOKUP(C643,customers!$A$2:$A$1001,customers!$C$2:$C$1001,,0,)))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10">L643*E643</f>
        <v>35.849999999999994</v>
      </c>
      <c r="N643" t="str" cm="1">
        <f t="array" ref="N643">_xlfn.IFS(I643="rob","Robusta",I643="exc","Excesla",I643="ara","Arabica",I643="lib","Liberica")</f>
        <v>Robusta</v>
      </c>
      <c r="O643" t="str" cm="1">
        <f t="array" ref="O643">_xlfn.IFS(J643="m","Medium",J643="l","Light",J643="d","Dark")</f>
        <v>Light</v>
      </c>
      <c r="P643" t="str">
        <f>_xlfn.XLOOKUP(orders[[#This Row],[Customer ID]],customers!$A$2:$A$1001,customers!$I$2:$I$1001,,0)</f>
        <v>Yes</v>
      </c>
    </row>
    <row r="644" spans="1:16" x14ac:dyDescent="0.3">
      <c r="A644" s="2" t="s">
        <v>4115</v>
      </c>
      <c r="B644" s="6">
        <v>43880</v>
      </c>
      <c r="C644" s="2" t="s">
        <v>4116</v>
      </c>
      <c r="D644" t="s">
        <v>6156</v>
      </c>
      <c r="E644" s="2">
        <v>2</v>
      </c>
      <c r="F644" s="2" t="str">
        <f>_xlfn.XLOOKUP(C644,customers!$A$1:$A$1001,customers!$B$1:$B$1001,,0,1)</f>
        <v>Maggy Baistow</v>
      </c>
      <c r="G644" s="2" t="str">
        <f>IF((_xlfn.XLOOKUP(C644,customers!$A$2:$A$1001,customers!$C$2:$C$1001,,,)=0),"",(_xlfn.XLOOKUP(C644,customers!$A$2:$A$1001,customers!$C$2:$C$1001,,0,)))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10"/>
        <v>8.25</v>
      </c>
      <c r="N644" t="str" cm="1">
        <f t="array" ref="N644">_xlfn.IFS(I644="rob","Robusta",I644="exc","Excesla",I644="ara","Arabica",I644="lib","Liberica")</f>
        <v>Excesla</v>
      </c>
      <c r="O644" t="str" cm="1">
        <f t="array" ref="O644">_xlfn.IFS(J644="m","Medium",J644="l","Light",J644="d","Dark")</f>
        <v>Medium</v>
      </c>
      <c r="P644" t="str">
        <f>_xlfn.XLOOKUP(orders[[#This Row],[Customer ID]],customers!$A$2:$A$1001,customers!$I$2:$I$1001,,0)</f>
        <v>Yes</v>
      </c>
    </row>
    <row r="645" spans="1:16" x14ac:dyDescent="0.3">
      <c r="A645" s="2" t="s">
        <v>4123</v>
      </c>
      <c r="B645" s="6">
        <v>44011</v>
      </c>
      <c r="C645" s="2" t="s">
        <v>4124</v>
      </c>
      <c r="D645" t="s">
        <v>6148</v>
      </c>
      <c r="E645" s="2">
        <v>3</v>
      </c>
      <c r="F645" s="2" t="str">
        <f>_xlfn.XLOOKUP(C645,customers!$A$1:$A$1001,customers!$B$1:$B$1001,,0,1)</f>
        <v>Courtney Pallant</v>
      </c>
      <c r="G645" s="2" t="str">
        <f>IF((_xlfn.XLOOKUP(C645,customers!$A$2:$A$1001,customers!$C$2:$C$1001,,,)=0),"",(_xlfn.XLOOKUP(C645,customers!$A$2:$A$1001,customers!$C$2:$C$1001,,0,)))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10"/>
        <v>102.46499999999997</v>
      </c>
      <c r="N645" t="str" cm="1">
        <f t="array" ref="N645">_xlfn.IFS(I645="rob","Robusta",I645="exc","Excesla",I645="ara","Arabica",I645="lib","Liberica")</f>
        <v>Excesla</v>
      </c>
      <c r="O645" t="str" cm="1">
        <f t="array" ref="O645">_xlfn.IFS(J645="m","Medium",J645="l","Light",J645="d","Dark")</f>
        <v>Light</v>
      </c>
      <c r="P645" t="str">
        <f>_xlfn.XLOOKUP(orders[[#This Row],[Customer ID]],customers!$A$2:$A$1001,customers!$I$2:$I$1001,,0)</f>
        <v>Yes</v>
      </c>
    </row>
    <row r="646" spans="1:16" x14ac:dyDescent="0.3">
      <c r="A646" s="2" t="s">
        <v>4128</v>
      </c>
      <c r="B646" s="6">
        <v>44694</v>
      </c>
      <c r="C646" s="2" t="s">
        <v>4129</v>
      </c>
      <c r="D646" t="s">
        <v>6149</v>
      </c>
      <c r="E646" s="2">
        <v>2</v>
      </c>
      <c r="F646" s="2" t="str">
        <f>_xlfn.XLOOKUP(C646,customers!$A$1:$A$1001,customers!$B$1:$B$1001,,0,1)</f>
        <v>Marne Mingey</v>
      </c>
      <c r="G646" s="2" t="str">
        <f>IF((_xlfn.XLOOKUP(C646,customers!$A$2:$A$1001,customers!$C$2:$C$1001,,,)=0),"",(_xlfn.XLOOKUP(C646,customers!$A$2:$A$1001,customers!$C$2:$C$1001,,0,)))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10"/>
        <v>41.169999999999995</v>
      </c>
      <c r="N646" t="str" cm="1">
        <f t="array" ref="N646">_xlfn.IFS(I646="rob","Robusta",I646="exc","Excesla",I646="ara","Arabica",I646="lib","Liberica")</f>
        <v>Robusta</v>
      </c>
      <c r="O646" t="str" cm="1">
        <f t="array" ref="O646">_xlfn.IFS(J646="m","Medium",J646="l","Light",J646="d","Dark")</f>
        <v>Dark</v>
      </c>
      <c r="P646" t="str">
        <f>_xlfn.XLOOKUP(orders[[#This Row],[Customer ID]],customers!$A$2:$A$1001,customers!$I$2:$I$1001,,0)</f>
        <v>No</v>
      </c>
    </row>
    <row r="647" spans="1:16" x14ac:dyDescent="0.3">
      <c r="A647" s="2" t="s">
        <v>4133</v>
      </c>
      <c r="B647" s="6">
        <v>44106</v>
      </c>
      <c r="C647" s="2" t="s">
        <v>4134</v>
      </c>
      <c r="D647" t="s">
        <v>6168</v>
      </c>
      <c r="E647" s="2">
        <v>3</v>
      </c>
      <c r="F647" s="2" t="str">
        <f>_xlfn.XLOOKUP(C647,customers!$A$1:$A$1001,customers!$B$1:$B$1001,,0,1)</f>
        <v>Denny O' Ronan</v>
      </c>
      <c r="G647" s="2" t="str">
        <f>IF((_xlfn.XLOOKUP(C647,customers!$A$2:$A$1001,customers!$C$2:$C$1001,,,)=0),"",(_xlfn.XLOOKUP(C647,customers!$A$2:$A$1001,customers!$C$2:$C$1001,,0,)))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10"/>
        <v>68.655000000000001</v>
      </c>
      <c r="N647" t="str" cm="1">
        <f t="array" ref="N647">_xlfn.IFS(I647="rob","Robusta",I647="exc","Excesla",I647="ara","Arabica",I647="lib","Liberica")</f>
        <v>Arabica</v>
      </c>
      <c r="O647" t="str" cm="1">
        <f t="array" ref="O647">_xlfn.IFS(J647="m","Medium",J647="l","Light",J647="d","Dark")</f>
        <v>Dark</v>
      </c>
      <c r="P647" t="str">
        <f>_xlfn.XLOOKUP(orders[[#This Row],[Customer ID]],customers!$A$2:$A$1001,customers!$I$2:$I$1001,,0)</f>
        <v>Yes</v>
      </c>
    </row>
    <row r="648" spans="1:16" x14ac:dyDescent="0.3">
      <c r="A648" s="2" t="s">
        <v>4139</v>
      </c>
      <c r="B648" s="6">
        <v>44532</v>
      </c>
      <c r="C648" s="2" t="s">
        <v>4140</v>
      </c>
      <c r="D648" t="s">
        <v>6147</v>
      </c>
      <c r="E648" s="2">
        <v>1</v>
      </c>
      <c r="F648" s="2" t="str">
        <f>_xlfn.XLOOKUP(C648,customers!$A$1:$A$1001,customers!$B$1:$B$1001,,0,1)</f>
        <v>Dottie Rallin</v>
      </c>
      <c r="G648" s="2" t="str">
        <f>IF((_xlfn.XLOOKUP(C648,customers!$A$2:$A$1001,customers!$C$2:$C$1001,,,)=0),"",(_xlfn.XLOOKUP(C648,customers!$A$2:$A$1001,customers!$C$2:$C$1001,,0,)))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10"/>
        <v>9.9499999999999993</v>
      </c>
      <c r="N648" t="str" cm="1">
        <f t="array" ref="N648">_xlfn.IFS(I648="rob","Robusta",I648="exc","Excesla",I648="ara","Arabica",I648="lib","Liberica")</f>
        <v>Arabica</v>
      </c>
      <c r="O648" t="str" cm="1">
        <f t="array" ref="O648">_xlfn.IFS(J648="m","Medium",J648="l","Light",J648="d","Dark")</f>
        <v>Dark</v>
      </c>
      <c r="P648" t="str">
        <f>_xlfn.XLOOKUP(orders[[#This Row],[Customer ID]],customers!$A$2:$A$1001,customers!$I$2:$I$1001,,0)</f>
        <v>Yes</v>
      </c>
    </row>
    <row r="649" spans="1:16" x14ac:dyDescent="0.3">
      <c r="A649" s="2" t="s">
        <v>4145</v>
      </c>
      <c r="B649" s="6">
        <v>44502</v>
      </c>
      <c r="C649" s="2" t="s">
        <v>4146</v>
      </c>
      <c r="D649" t="s">
        <v>6161</v>
      </c>
      <c r="E649" s="2">
        <v>3</v>
      </c>
      <c r="F649" s="2" t="str">
        <f>_xlfn.XLOOKUP(C649,customers!$A$1:$A$1001,customers!$B$1:$B$1001,,0,1)</f>
        <v>Ardith Chill</v>
      </c>
      <c r="G649" s="2" t="str">
        <f>IF((_xlfn.XLOOKUP(C649,customers!$A$2:$A$1001,customers!$C$2:$C$1001,,,)=0),"",(_xlfn.XLOOKUP(C649,customers!$A$2:$A$1001,customers!$C$2:$C$1001,,0,)))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10"/>
        <v>28.53</v>
      </c>
      <c r="N649" t="str" cm="1">
        <f t="array" ref="N649">_xlfn.IFS(I649="rob","Robusta",I649="exc","Excesla",I649="ara","Arabica",I649="lib","Liberica")</f>
        <v>Liberica</v>
      </c>
      <c r="O649" t="str" cm="1">
        <f t="array" ref="O649">_xlfn.IFS(J649="m","Medium",J649="l","Light",J649="d","Dark")</f>
        <v>Light</v>
      </c>
      <c r="P649" t="str">
        <f>_xlfn.XLOOKUP(orders[[#This Row],[Customer ID]],customers!$A$2:$A$1001,customers!$I$2:$I$1001,,0)</f>
        <v>Yes</v>
      </c>
    </row>
    <row r="650" spans="1:16" x14ac:dyDescent="0.3">
      <c r="A650" s="2" t="s">
        <v>4151</v>
      </c>
      <c r="B650" s="6">
        <v>43884</v>
      </c>
      <c r="C650" s="2" t="s">
        <v>4152</v>
      </c>
      <c r="D650" t="s">
        <v>6163</v>
      </c>
      <c r="E650" s="2">
        <v>6</v>
      </c>
      <c r="F650" s="2" t="str">
        <f>_xlfn.XLOOKUP(C650,customers!$A$1:$A$1001,customers!$B$1:$B$1001,,0,1)</f>
        <v>Tuckie Mathonnet</v>
      </c>
      <c r="G650" s="2" t="str">
        <f>IF((_xlfn.XLOOKUP(C650,customers!$A$2:$A$1001,customers!$C$2:$C$1001,,,)=0),"",(_xlfn.XLOOKUP(C650,customers!$A$2:$A$1001,customers!$C$2:$C$1001,,0,)))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10"/>
        <v>16.11</v>
      </c>
      <c r="N650" t="str" cm="1">
        <f t="array" ref="N650">_xlfn.IFS(I650="rob","Robusta",I650="exc","Excesla",I650="ara","Arabica",I650="lib","Liberica")</f>
        <v>Robusta</v>
      </c>
      <c r="O650" t="str" cm="1">
        <f t="array" ref="O650">_xlfn.IFS(J650="m","Medium",J650="l","Light",J650="d","Dark")</f>
        <v>Dark</v>
      </c>
      <c r="P650" t="str">
        <f>_xlfn.XLOOKUP(orders[[#This Row],[Customer ID]],customers!$A$2:$A$1001,customers!$I$2:$I$1001,,0)</f>
        <v>No</v>
      </c>
    </row>
    <row r="651" spans="1:16" x14ac:dyDescent="0.3">
      <c r="A651" s="2" t="s">
        <v>4157</v>
      </c>
      <c r="B651" s="6">
        <v>44015</v>
      </c>
      <c r="C651" s="2" t="s">
        <v>4158</v>
      </c>
      <c r="D651" t="s">
        <v>6170</v>
      </c>
      <c r="E651" s="2">
        <v>6</v>
      </c>
      <c r="F651" s="2" t="str">
        <f>_xlfn.XLOOKUP(C651,customers!$A$1:$A$1001,customers!$B$1:$B$1001,,0,1)</f>
        <v>Charmane Denys</v>
      </c>
      <c r="G651" s="2" t="str">
        <f>IF((_xlfn.XLOOKUP(C651,customers!$A$2:$A$1001,customers!$C$2:$C$1001,,,)=0),"",(_xlfn.XLOOKUP(C651,customers!$A$2:$A$1001,customers!$C$2:$C$1001,,0,)))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10"/>
        <v>95.1</v>
      </c>
      <c r="N651" t="str" cm="1">
        <f t="array" ref="N651">_xlfn.IFS(I651="rob","Robusta",I651="exc","Excesla",I651="ara","Arabica",I651="lib","Liberica")</f>
        <v>Liberica</v>
      </c>
      <c r="O651" t="str" cm="1">
        <f t="array" ref="O651">_xlfn.IFS(J651="m","Medium",J651="l","Light",J651="d","Dark")</f>
        <v>Light</v>
      </c>
      <c r="P651" t="str">
        <f>_xlfn.XLOOKUP(orders[[#This Row],[Customer ID]],customers!$A$2:$A$1001,customers!$I$2:$I$1001,,0)</f>
        <v>No</v>
      </c>
    </row>
    <row r="652" spans="1:16" x14ac:dyDescent="0.3">
      <c r="A652" s="2" t="s">
        <v>4163</v>
      </c>
      <c r="B652" s="6">
        <v>43507</v>
      </c>
      <c r="C652" s="2" t="s">
        <v>4164</v>
      </c>
      <c r="D652" t="s">
        <v>6172</v>
      </c>
      <c r="E652" s="2">
        <v>1</v>
      </c>
      <c r="F652" s="2" t="str">
        <f>_xlfn.XLOOKUP(C652,customers!$A$1:$A$1001,customers!$B$1:$B$1001,,0,1)</f>
        <v>Cecily Stebbings</v>
      </c>
      <c r="G652" s="2" t="str">
        <f>IF((_xlfn.XLOOKUP(C652,customers!$A$2:$A$1001,customers!$C$2:$C$1001,,,)=0),"",(_xlfn.XLOOKUP(C652,customers!$A$2:$A$1001,customers!$C$2:$C$1001,,0,)))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10"/>
        <v>5.3699999999999992</v>
      </c>
      <c r="N652" t="str" cm="1">
        <f t="array" ref="N652">_xlfn.IFS(I652="rob","Robusta",I652="exc","Excesla",I652="ara","Arabica",I652="lib","Liberica")</f>
        <v>Robusta</v>
      </c>
      <c r="O652" t="str" cm="1">
        <f t="array" ref="O652">_xlfn.IFS(J652="m","Medium",J652="l","Light",J652="d","Dark")</f>
        <v>Dark</v>
      </c>
      <c r="P652" t="str">
        <f>_xlfn.XLOOKUP(orders[[#This Row],[Customer ID]],customers!$A$2:$A$1001,customers!$I$2:$I$1001,,0)</f>
        <v>Yes</v>
      </c>
    </row>
    <row r="653" spans="1:16" x14ac:dyDescent="0.3">
      <c r="A653" s="2" t="s">
        <v>4169</v>
      </c>
      <c r="B653" s="6">
        <v>44084</v>
      </c>
      <c r="C653" s="2" t="s">
        <v>4170</v>
      </c>
      <c r="D653" t="s">
        <v>6179</v>
      </c>
      <c r="E653" s="2">
        <v>4</v>
      </c>
      <c r="F653" s="2" t="str">
        <f>_xlfn.XLOOKUP(C653,customers!$A$1:$A$1001,customers!$B$1:$B$1001,,0,1)</f>
        <v>Giana Tonnesen</v>
      </c>
      <c r="G653" s="2" t="str">
        <f>IF((_xlfn.XLOOKUP(C653,customers!$A$2:$A$1001,customers!$C$2:$C$1001,,,)=0),"",(_xlfn.XLOOKUP(C653,customers!$A$2:$A$1001,customers!$C$2:$C$1001,,0,)))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10"/>
        <v>47.8</v>
      </c>
      <c r="N653" t="str" cm="1">
        <f t="array" ref="N653">_xlfn.IFS(I653="rob","Robusta",I653="exc","Excesla",I653="ara","Arabica",I653="lib","Liberica")</f>
        <v>Robusta</v>
      </c>
      <c r="O653" t="str" cm="1">
        <f t="array" ref="O653">_xlfn.IFS(J653="m","Medium",J653="l","Light",J653="d","Dark")</f>
        <v>Light</v>
      </c>
      <c r="P653" t="str">
        <f>_xlfn.XLOOKUP(orders[[#This Row],[Customer ID]],customers!$A$2:$A$1001,customers!$I$2:$I$1001,,0)</f>
        <v>No</v>
      </c>
    </row>
    <row r="654" spans="1:16" x14ac:dyDescent="0.3">
      <c r="A654" s="2" t="s">
        <v>4174</v>
      </c>
      <c r="B654" s="6">
        <v>43892</v>
      </c>
      <c r="C654" s="2" t="s">
        <v>4175</v>
      </c>
      <c r="D654" t="s">
        <v>6170</v>
      </c>
      <c r="E654" s="2">
        <v>4</v>
      </c>
      <c r="F654" s="2" t="str">
        <f>_xlfn.XLOOKUP(C654,customers!$A$1:$A$1001,customers!$B$1:$B$1001,,0,1)</f>
        <v>Rhetta Zywicki</v>
      </c>
      <c r="G654" s="2" t="str">
        <f>IF((_xlfn.XLOOKUP(C654,customers!$A$2:$A$1001,customers!$C$2:$C$1001,,,)=0),"",(_xlfn.XLOOKUP(C654,customers!$A$2:$A$1001,customers!$C$2:$C$1001,,0,)))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10"/>
        <v>63.4</v>
      </c>
      <c r="N654" t="str" cm="1">
        <f t="array" ref="N654">_xlfn.IFS(I654="rob","Robusta",I654="exc","Excesla",I654="ara","Arabica",I654="lib","Liberica")</f>
        <v>Liberica</v>
      </c>
      <c r="O654" t="str" cm="1">
        <f t="array" ref="O654">_xlfn.IFS(J654="m","Medium",J654="l","Light",J654="d","Dark")</f>
        <v>Light</v>
      </c>
      <c r="P654" t="str">
        <f>_xlfn.XLOOKUP(orders[[#This Row],[Customer ID]],customers!$A$2:$A$1001,customers!$I$2:$I$1001,,0)</f>
        <v>No</v>
      </c>
    </row>
    <row r="655" spans="1:16" x14ac:dyDescent="0.3">
      <c r="A655" s="2" t="s">
        <v>4179</v>
      </c>
      <c r="B655" s="6">
        <v>44375</v>
      </c>
      <c r="C655" s="2" t="s">
        <v>4180</v>
      </c>
      <c r="D655" t="s">
        <v>6175</v>
      </c>
      <c r="E655" s="2">
        <v>4</v>
      </c>
      <c r="F655" s="2" t="str">
        <f>_xlfn.XLOOKUP(C655,customers!$A$1:$A$1001,customers!$B$1:$B$1001,,0,1)</f>
        <v>Almeria Burgett</v>
      </c>
      <c r="G655" s="2" t="str">
        <f>IF((_xlfn.XLOOKUP(C655,customers!$A$2:$A$1001,customers!$C$2:$C$1001,,,)=0),"",(_xlfn.XLOOKUP(C655,customers!$A$2:$A$1001,customers!$C$2:$C$1001,,0,)))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10"/>
        <v>103.49999999999999</v>
      </c>
      <c r="N655" t="str" cm="1">
        <f t="array" ref="N655">_xlfn.IFS(I655="rob","Robusta",I655="exc","Excesla",I655="ara","Arabica",I655="lib","Liberica")</f>
        <v>Arabica</v>
      </c>
      <c r="O655" t="str" cm="1">
        <f t="array" ref="O655">_xlfn.IFS(J655="m","Medium",J655="l","Light",J655="d","Dark")</f>
        <v>Medium</v>
      </c>
      <c r="P655" t="str">
        <f>_xlfn.XLOOKUP(orders[[#This Row],[Customer ID]],customers!$A$2:$A$1001,customers!$I$2:$I$1001,,0)</f>
        <v>No</v>
      </c>
    </row>
    <row r="656" spans="1:16" x14ac:dyDescent="0.3">
      <c r="A656" s="2" t="s">
        <v>4185</v>
      </c>
      <c r="B656" s="6">
        <v>43476</v>
      </c>
      <c r="C656" s="2" t="s">
        <v>4186</v>
      </c>
      <c r="D656" t="s">
        <v>6168</v>
      </c>
      <c r="E656" s="2">
        <v>3</v>
      </c>
      <c r="F656" s="2" t="str">
        <f>_xlfn.XLOOKUP(C656,customers!$A$1:$A$1001,customers!$B$1:$B$1001,,0,1)</f>
        <v>Marvin Malloy</v>
      </c>
      <c r="G656" s="2" t="str">
        <f>IF((_xlfn.XLOOKUP(C656,customers!$A$2:$A$1001,customers!$C$2:$C$1001,,,)=0),"",(_xlfn.XLOOKUP(C656,customers!$A$2:$A$1001,customers!$C$2:$C$1001,,0,)))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10"/>
        <v>68.655000000000001</v>
      </c>
      <c r="N656" t="str" cm="1">
        <f t="array" ref="N656">_xlfn.IFS(I656="rob","Robusta",I656="exc","Excesla",I656="ara","Arabica",I656="lib","Liberica")</f>
        <v>Arabica</v>
      </c>
      <c r="O656" t="str" cm="1">
        <f t="array" ref="O656">_xlfn.IFS(J656="m","Medium",J656="l","Light",J656="d","Dark")</f>
        <v>Dark</v>
      </c>
      <c r="P656" t="str">
        <f>_xlfn.XLOOKUP(orders[[#This Row],[Customer ID]],customers!$A$2:$A$1001,customers!$I$2:$I$1001,,0)</f>
        <v>No</v>
      </c>
    </row>
    <row r="657" spans="1:16" x14ac:dyDescent="0.3">
      <c r="A657" s="2" t="s">
        <v>4191</v>
      </c>
      <c r="B657" s="6">
        <v>43728</v>
      </c>
      <c r="C657" s="2" t="s">
        <v>4192</v>
      </c>
      <c r="D657" t="s">
        <v>6151</v>
      </c>
      <c r="E657" s="2">
        <v>2</v>
      </c>
      <c r="F657" s="2" t="str">
        <f>_xlfn.XLOOKUP(C657,customers!$A$1:$A$1001,customers!$B$1:$B$1001,,0,1)</f>
        <v>Maxim McParland</v>
      </c>
      <c r="G657" s="2" t="str">
        <f>IF((_xlfn.XLOOKUP(C657,customers!$A$2:$A$1001,customers!$C$2:$C$1001,,,)=0),"",(_xlfn.XLOOKUP(C657,customers!$A$2:$A$1001,customers!$C$2:$C$1001,,0,)))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10"/>
        <v>45.769999999999996</v>
      </c>
      <c r="N657" t="str" cm="1">
        <f t="array" ref="N657">_xlfn.IFS(I657="rob","Robusta",I657="exc","Excesla",I657="ara","Arabica",I657="lib","Liberica")</f>
        <v>Robusta</v>
      </c>
      <c r="O657" t="str" cm="1">
        <f t="array" ref="O657">_xlfn.IFS(J657="m","Medium",J657="l","Light",J657="d","Dark")</f>
        <v>Medium</v>
      </c>
      <c r="P657" t="str">
        <f>_xlfn.XLOOKUP(orders[[#This Row],[Customer ID]],customers!$A$2:$A$1001,customers!$I$2:$I$1001,,0)</f>
        <v>Yes</v>
      </c>
    </row>
    <row r="658" spans="1:16" x14ac:dyDescent="0.3">
      <c r="A658" s="2" t="s">
        <v>4196</v>
      </c>
      <c r="B658" s="6">
        <v>44485</v>
      </c>
      <c r="C658" s="2" t="s">
        <v>4197</v>
      </c>
      <c r="D658" t="s">
        <v>6143</v>
      </c>
      <c r="E658" s="2">
        <v>4</v>
      </c>
      <c r="F658" s="2" t="str">
        <f>_xlfn.XLOOKUP(C658,customers!$A$1:$A$1001,customers!$B$1:$B$1001,,0,1)</f>
        <v>Sylas Jennaroy</v>
      </c>
      <c r="G658" s="2" t="str">
        <f>IF((_xlfn.XLOOKUP(C658,customers!$A$2:$A$1001,customers!$C$2:$C$1001,,,)=0),"",(_xlfn.XLOOKUP(C658,customers!$A$2:$A$1001,customers!$C$2:$C$1001,,0,)))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10"/>
        <v>51.8</v>
      </c>
      <c r="N658" t="str" cm="1">
        <f t="array" ref="N658">_xlfn.IFS(I658="rob","Robusta",I658="exc","Excesla",I658="ara","Arabica",I658="lib","Liberica")</f>
        <v>Liberica</v>
      </c>
      <c r="O658" t="str" cm="1">
        <f t="array" ref="O658">_xlfn.IFS(J658="m","Medium",J658="l","Light",J658="d","Dark")</f>
        <v>Dark</v>
      </c>
      <c r="P658" t="str">
        <f>_xlfn.XLOOKUP(orders[[#This Row],[Customer ID]],customers!$A$2:$A$1001,customers!$I$2:$I$1001,,0)</f>
        <v>No</v>
      </c>
    </row>
    <row r="659" spans="1:16" x14ac:dyDescent="0.3">
      <c r="A659" s="2" t="s">
        <v>4201</v>
      </c>
      <c r="B659" s="6">
        <v>43831</v>
      </c>
      <c r="C659" s="2" t="s">
        <v>4202</v>
      </c>
      <c r="D659" t="s">
        <v>6157</v>
      </c>
      <c r="E659" s="2">
        <v>2</v>
      </c>
      <c r="F659" s="2" t="str">
        <f>_xlfn.XLOOKUP(C659,customers!$A$1:$A$1001,customers!$B$1:$B$1001,,0,1)</f>
        <v>Wren Place</v>
      </c>
      <c r="G659" s="2" t="str">
        <f>IF((_xlfn.XLOOKUP(C659,customers!$A$2:$A$1001,customers!$C$2:$C$1001,,,)=0),"",(_xlfn.XLOOKUP(C659,customers!$A$2:$A$1001,customers!$C$2:$C$1001,,0,)))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10"/>
        <v>13.5</v>
      </c>
      <c r="N659" t="str" cm="1">
        <f t="array" ref="N659">_xlfn.IFS(I659="rob","Robusta",I659="exc","Excesla",I659="ara","Arabica",I659="lib","Liberica")</f>
        <v>Arabica</v>
      </c>
      <c r="O659" t="str" cm="1">
        <f t="array" ref="O659">_xlfn.IFS(J659="m","Medium",J659="l","Light",J659="d","Dark")</f>
        <v>Medium</v>
      </c>
      <c r="P659" t="str">
        <f>_xlfn.XLOOKUP(orders[[#This Row],[Customer ID]],customers!$A$2:$A$1001,customers!$I$2:$I$1001,,0)</f>
        <v>Yes</v>
      </c>
    </row>
    <row r="660" spans="1:16" x14ac:dyDescent="0.3">
      <c r="A660" s="2" t="s">
        <v>4207</v>
      </c>
      <c r="B660" s="6">
        <v>44630</v>
      </c>
      <c r="C660" s="2" t="s">
        <v>4263</v>
      </c>
      <c r="D660" t="s">
        <v>6139</v>
      </c>
      <c r="E660" s="2">
        <v>3</v>
      </c>
      <c r="F660" s="2" t="str">
        <f>_xlfn.XLOOKUP(C660,customers!$A$1:$A$1001,customers!$B$1:$B$1001,,0,1)</f>
        <v>Janella Millett</v>
      </c>
      <c r="G660" s="2" t="str">
        <f>IF((_xlfn.XLOOKUP(C660,customers!$A$2:$A$1001,customers!$C$2:$C$1001,,,)=0),"",(_xlfn.XLOOKUP(C660,customers!$A$2:$A$1001,customers!$C$2:$C$1001,,0,)))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10"/>
        <v>24.75</v>
      </c>
      <c r="N660" t="str" cm="1">
        <f t="array" ref="N660">_xlfn.IFS(I660="rob","Robusta",I660="exc","Excesla",I660="ara","Arabica",I660="lib","Liberica")</f>
        <v>Excesla</v>
      </c>
      <c r="O660" t="str" cm="1">
        <f t="array" ref="O660">_xlfn.IFS(J660="m","Medium",J660="l","Light",J660="d","Dark")</f>
        <v>Medium</v>
      </c>
      <c r="P660" t="str">
        <f>_xlfn.XLOOKUP(orders[[#This Row],[Customer ID]],customers!$A$2:$A$1001,customers!$I$2:$I$1001,,0)</f>
        <v>Yes</v>
      </c>
    </row>
    <row r="661" spans="1:16" x14ac:dyDescent="0.3">
      <c r="A661" s="2" t="s">
        <v>4211</v>
      </c>
      <c r="B661" s="6">
        <v>44693</v>
      </c>
      <c r="C661" s="2" t="s">
        <v>4212</v>
      </c>
      <c r="D661" t="s">
        <v>6168</v>
      </c>
      <c r="E661" s="2">
        <v>2</v>
      </c>
      <c r="F661" s="2" t="str">
        <f>_xlfn.XLOOKUP(C661,customers!$A$1:$A$1001,customers!$B$1:$B$1001,,0,1)</f>
        <v>Dollie Gadsden</v>
      </c>
      <c r="G661" s="2" t="str">
        <f>IF((_xlfn.XLOOKUP(C661,customers!$A$2:$A$1001,customers!$C$2:$C$1001,,,)=0),"",(_xlfn.XLOOKUP(C661,customers!$A$2:$A$1001,customers!$C$2:$C$1001,,0,)))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10"/>
        <v>45.769999999999996</v>
      </c>
      <c r="N661" t="str" cm="1">
        <f t="array" ref="N661">_xlfn.IFS(I661="rob","Robusta",I661="exc","Excesla",I661="ara","Arabica",I661="lib","Liberica")</f>
        <v>Arabica</v>
      </c>
      <c r="O661" t="str" cm="1">
        <f t="array" ref="O661">_xlfn.IFS(J661="m","Medium",J661="l","Light",J661="d","Dark")</f>
        <v>Dark</v>
      </c>
      <c r="P661" t="str">
        <f>_xlfn.XLOOKUP(orders[[#This Row],[Customer ID]],customers!$A$2:$A$1001,customers!$I$2:$I$1001,,0)</f>
        <v>Yes</v>
      </c>
    </row>
    <row r="662" spans="1:16" x14ac:dyDescent="0.3">
      <c r="A662" s="2" t="s">
        <v>4217</v>
      </c>
      <c r="B662" s="6">
        <v>44084</v>
      </c>
      <c r="C662" s="2" t="s">
        <v>4218</v>
      </c>
      <c r="D662" t="s">
        <v>6176</v>
      </c>
      <c r="E662" s="2">
        <v>6</v>
      </c>
      <c r="F662" s="2" t="str">
        <f>_xlfn.XLOOKUP(C662,customers!$A$1:$A$1001,customers!$B$1:$B$1001,,0,1)</f>
        <v>Val Wakelin</v>
      </c>
      <c r="G662" s="2" t="str">
        <f>IF((_xlfn.XLOOKUP(C662,customers!$A$2:$A$1001,customers!$C$2:$C$1001,,,)=0),"",(_xlfn.XLOOKUP(C662,customers!$A$2:$A$1001,customers!$C$2:$C$1001,,0,)))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10"/>
        <v>53.46</v>
      </c>
      <c r="N662" t="str" cm="1">
        <f t="array" ref="N662">_xlfn.IFS(I662="rob","Robusta",I662="exc","Excesla",I662="ara","Arabica",I662="lib","Liberica")</f>
        <v>Excesla</v>
      </c>
      <c r="O662" t="str" cm="1">
        <f t="array" ref="O662">_xlfn.IFS(J662="m","Medium",J662="l","Light",J662="d","Dark")</f>
        <v>Light</v>
      </c>
      <c r="P662" t="str">
        <f>_xlfn.XLOOKUP(orders[[#This Row],[Customer ID]],customers!$A$2:$A$1001,customers!$I$2:$I$1001,,0)</f>
        <v>No</v>
      </c>
    </row>
    <row r="663" spans="1:16" x14ac:dyDescent="0.3">
      <c r="A663" s="2" t="s">
        <v>4223</v>
      </c>
      <c r="B663" s="6">
        <v>44485</v>
      </c>
      <c r="C663" s="2" t="s">
        <v>4224</v>
      </c>
      <c r="D663" t="s">
        <v>6152</v>
      </c>
      <c r="E663" s="2">
        <v>6</v>
      </c>
      <c r="F663" s="2" t="str">
        <f>_xlfn.XLOOKUP(C663,customers!$A$1:$A$1001,customers!$B$1:$B$1001,,0,1)</f>
        <v>Annie Campsall</v>
      </c>
      <c r="G663" s="2" t="str">
        <f>IF((_xlfn.XLOOKUP(C663,customers!$A$2:$A$1001,customers!$C$2:$C$1001,,,)=0),"",(_xlfn.XLOOKUP(C663,customers!$A$2:$A$1001,customers!$C$2:$C$1001,,0,)))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10"/>
        <v>20.25</v>
      </c>
      <c r="N663" t="str" cm="1">
        <f t="array" ref="N663">_xlfn.IFS(I663="rob","Robusta",I663="exc","Excesla",I663="ara","Arabica",I663="lib","Liberica")</f>
        <v>Arabica</v>
      </c>
      <c r="O663" t="str" cm="1">
        <f t="array" ref="O663">_xlfn.IFS(J663="m","Medium",J663="l","Light",J663="d","Dark")</f>
        <v>Medium</v>
      </c>
      <c r="P663" t="str">
        <f>_xlfn.XLOOKUP(orders[[#This Row],[Customer ID]],customers!$A$2:$A$1001,customers!$I$2:$I$1001,,0)</f>
        <v>Yes</v>
      </c>
    </row>
    <row r="664" spans="1:16" x14ac:dyDescent="0.3">
      <c r="A664" s="2" t="s">
        <v>4229</v>
      </c>
      <c r="B664" s="6">
        <v>44364</v>
      </c>
      <c r="C664" s="2" t="s">
        <v>4230</v>
      </c>
      <c r="D664" t="s">
        <v>6165</v>
      </c>
      <c r="E664" s="2">
        <v>5</v>
      </c>
      <c r="F664" s="2" t="str">
        <f>_xlfn.XLOOKUP(C664,customers!$A$1:$A$1001,customers!$B$1:$B$1001,,0,1)</f>
        <v>Shermy Moseby</v>
      </c>
      <c r="G664" s="2" t="str">
        <f>IF((_xlfn.XLOOKUP(C664,customers!$A$2:$A$1001,customers!$C$2:$C$1001,,,)=0),"",(_xlfn.XLOOKUP(C664,customers!$A$2:$A$1001,customers!$C$2:$C$1001,,0,)))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10"/>
        <v>148.92499999999998</v>
      </c>
      <c r="N664" t="str" cm="1">
        <f t="array" ref="N664">_xlfn.IFS(I664="rob","Robusta",I664="exc","Excesla",I664="ara","Arabica",I664="lib","Liberica")</f>
        <v>Liberica</v>
      </c>
      <c r="O664" t="str" cm="1">
        <f t="array" ref="O664">_xlfn.IFS(J664="m","Medium",J664="l","Light",J664="d","Dark")</f>
        <v>Dark</v>
      </c>
      <c r="P664" t="str">
        <f>_xlfn.XLOOKUP(orders[[#This Row],[Customer ID]],customers!$A$2:$A$1001,customers!$I$2:$I$1001,,0)</f>
        <v>No</v>
      </c>
    </row>
    <row r="665" spans="1:16" x14ac:dyDescent="0.3">
      <c r="A665" s="2" t="s">
        <v>4234</v>
      </c>
      <c r="B665" s="6">
        <v>43554</v>
      </c>
      <c r="C665" s="2" t="s">
        <v>4235</v>
      </c>
      <c r="D665" t="s">
        <v>6155</v>
      </c>
      <c r="E665" s="2">
        <v>6</v>
      </c>
      <c r="F665" s="2" t="str">
        <f>_xlfn.XLOOKUP(C665,customers!$A$1:$A$1001,customers!$B$1:$B$1001,,0,1)</f>
        <v>Corrie Wass</v>
      </c>
      <c r="G665" s="2" t="str">
        <f>IF((_xlfn.XLOOKUP(C665,customers!$A$2:$A$1001,customers!$C$2:$C$1001,,,)=0),"",(_xlfn.XLOOKUP(C665,customers!$A$2:$A$1001,customers!$C$2:$C$1001,,0,)))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10"/>
        <v>67.5</v>
      </c>
      <c r="N665" t="str" cm="1">
        <f t="array" ref="N665">_xlfn.IFS(I665="rob","Robusta",I665="exc","Excesla",I665="ara","Arabica",I665="lib","Liberica")</f>
        <v>Arabica</v>
      </c>
      <c r="O665" t="str" cm="1">
        <f t="array" ref="O665">_xlfn.IFS(J665="m","Medium",J665="l","Light",J665="d","Dark")</f>
        <v>Medium</v>
      </c>
      <c r="P665" t="str">
        <f>_xlfn.XLOOKUP(orders[[#This Row],[Customer ID]],customers!$A$2:$A$1001,customers!$I$2:$I$1001,,0)</f>
        <v>No</v>
      </c>
    </row>
    <row r="666" spans="1:16" x14ac:dyDescent="0.3">
      <c r="A666" s="2" t="s">
        <v>4239</v>
      </c>
      <c r="B666" s="6">
        <v>44549</v>
      </c>
      <c r="C666" s="2" t="s">
        <v>4240</v>
      </c>
      <c r="D666" t="s">
        <v>6183</v>
      </c>
      <c r="E666" s="2">
        <v>6</v>
      </c>
      <c r="F666" s="2" t="str">
        <f>_xlfn.XLOOKUP(C666,customers!$A$1:$A$1001,customers!$B$1:$B$1001,,0,1)</f>
        <v>Ira Sjostrom</v>
      </c>
      <c r="G666" s="2" t="str">
        <f>IF((_xlfn.XLOOKUP(C666,customers!$A$2:$A$1001,customers!$C$2:$C$1001,,,)=0),"",(_xlfn.XLOOKUP(C666,customers!$A$2:$A$1001,customers!$C$2:$C$1001,,0,)))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10"/>
        <v>72.900000000000006</v>
      </c>
      <c r="N666" t="str" cm="1">
        <f t="array" ref="N666">_xlfn.IFS(I666="rob","Robusta",I666="exc","Excesla",I666="ara","Arabica",I666="lib","Liberica")</f>
        <v>Excesla</v>
      </c>
      <c r="O666" t="str" cm="1">
        <f t="array" ref="O666">_xlfn.IFS(J666="m","Medium",J666="l","Light",J666="d","Dark")</f>
        <v>Dark</v>
      </c>
      <c r="P666" t="str">
        <f>_xlfn.XLOOKUP(orders[[#This Row],[Customer ID]],customers!$A$2:$A$1001,customers!$I$2:$I$1001,,0)</f>
        <v>No</v>
      </c>
    </row>
    <row r="667" spans="1:16" x14ac:dyDescent="0.3">
      <c r="A667" s="2" t="s">
        <v>4239</v>
      </c>
      <c r="B667" s="6">
        <v>44549</v>
      </c>
      <c r="C667" s="2" t="s">
        <v>4240</v>
      </c>
      <c r="D667" t="s">
        <v>6150</v>
      </c>
      <c r="E667" s="2">
        <v>2</v>
      </c>
      <c r="F667" s="2" t="str">
        <f>_xlfn.XLOOKUP(C667,customers!$A$1:$A$1001,customers!$B$1:$B$1001,,0,1)</f>
        <v>Ira Sjostrom</v>
      </c>
      <c r="G667" s="2" t="str">
        <f>IF((_xlfn.XLOOKUP(C667,customers!$A$2:$A$1001,customers!$C$2:$C$1001,,,)=0),"",(_xlfn.XLOOKUP(C667,customers!$A$2:$A$1001,customers!$C$2:$C$1001,,0,)))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10"/>
        <v>7.77</v>
      </c>
      <c r="N667" t="str" cm="1">
        <f t="array" ref="N667">_xlfn.IFS(I667="rob","Robusta",I667="exc","Excesla",I667="ara","Arabica",I667="lib","Liberica")</f>
        <v>Liberica</v>
      </c>
      <c r="O667" t="str" cm="1">
        <f t="array" ref="O667">_xlfn.IFS(J667="m","Medium",J667="l","Light",J667="d","Dark")</f>
        <v>Dark</v>
      </c>
      <c r="P667" t="str">
        <f>_xlfn.XLOOKUP(orders[[#This Row],[Customer ID]],customers!$A$2:$A$1001,customers!$I$2:$I$1001,,0)</f>
        <v>No</v>
      </c>
    </row>
    <row r="668" spans="1:16" x14ac:dyDescent="0.3">
      <c r="A668" s="2" t="s">
        <v>4250</v>
      </c>
      <c r="B668" s="6">
        <v>43987</v>
      </c>
      <c r="C668" s="2" t="s">
        <v>4251</v>
      </c>
      <c r="D668" t="s">
        <v>6168</v>
      </c>
      <c r="E668" s="2">
        <v>4</v>
      </c>
      <c r="F668" s="2" t="str">
        <f>_xlfn.XLOOKUP(C668,customers!$A$1:$A$1001,customers!$B$1:$B$1001,,0,1)</f>
        <v>Jermaine Branchett</v>
      </c>
      <c r="G668" s="2" t="str">
        <f>IF((_xlfn.XLOOKUP(C668,customers!$A$2:$A$1001,customers!$C$2:$C$1001,,,)=0),"",(_xlfn.XLOOKUP(C668,customers!$A$2:$A$1001,customers!$C$2:$C$1001,,0,)))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10"/>
        <v>91.539999999999992</v>
      </c>
      <c r="N668" t="str" cm="1">
        <f t="array" ref="N668">_xlfn.IFS(I668="rob","Robusta",I668="exc","Excesla",I668="ara","Arabica",I668="lib","Liberica")</f>
        <v>Arabica</v>
      </c>
      <c r="O668" t="str" cm="1">
        <f t="array" ref="O668">_xlfn.IFS(J668="m","Medium",J668="l","Light",J668="d","Dark")</f>
        <v>Dark</v>
      </c>
      <c r="P668" t="str">
        <f>_xlfn.XLOOKUP(orders[[#This Row],[Customer ID]],customers!$A$2:$A$1001,customers!$I$2:$I$1001,,0)</f>
        <v>No</v>
      </c>
    </row>
    <row r="669" spans="1:16" x14ac:dyDescent="0.3">
      <c r="A669" s="2" t="s">
        <v>4256</v>
      </c>
      <c r="B669" s="6">
        <v>44451</v>
      </c>
      <c r="C669" s="2" t="s">
        <v>4257</v>
      </c>
      <c r="D669" t="s">
        <v>6147</v>
      </c>
      <c r="E669" s="2">
        <v>6</v>
      </c>
      <c r="F669" s="2" t="str">
        <f>_xlfn.XLOOKUP(C669,customers!$A$1:$A$1001,customers!$B$1:$B$1001,,0,1)</f>
        <v>Nissie Rudland</v>
      </c>
      <c r="G669" s="2" t="str">
        <f>IF((_xlfn.XLOOKUP(C669,customers!$A$2:$A$1001,customers!$C$2:$C$1001,,,)=0),"",(_xlfn.XLOOKUP(C669,customers!$A$2:$A$1001,customers!$C$2:$C$1001,,0,)))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10"/>
        <v>59.699999999999996</v>
      </c>
      <c r="N669" t="str" cm="1">
        <f t="array" ref="N669">_xlfn.IFS(I669="rob","Robusta",I669="exc","Excesla",I669="ara","Arabica",I669="lib","Liberica")</f>
        <v>Arabica</v>
      </c>
      <c r="O669" t="str" cm="1">
        <f t="array" ref="O669">_xlfn.IFS(J669="m","Medium",J669="l","Light",J669="d","Dark")</f>
        <v>Dark</v>
      </c>
      <c r="P669" t="str">
        <f>_xlfn.XLOOKUP(orders[[#This Row],[Customer ID]],customers!$A$2:$A$1001,customers!$I$2:$I$1001,,0)</f>
        <v>No</v>
      </c>
    </row>
    <row r="670" spans="1:16" x14ac:dyDescent="0.3">
      <c r="A670" s="2" t="s">
        <v>4262</v>
      </c>
      <c r="B670" s="6">
        <v>44636</v>
      </c>
      <c r="C670" s="2" t="s">
        <v>4263</v>
      </c>
      <c r="D670" t="s">
        <v>6142</v>
      </c>
      <c r="E670" s="2">
        <v>5</v>
      </c>
      <c r="F670" s="2" t="str">
        <f>_xlfn.XLOOKUP(C670,customers!$A$1:$A$1001,customers!$B$1:$B$1001,,0,1)</f>
        <v>Janella Millett</v>
      </c>
      <c r="G670" s="2" t="str">
        <f>IF((_xlfn.XLOOKUP(C670,customers!$A$2:$A$1001,customers!$C$2:$C$1001,,,)=0),"",(_xlfn.XLOOKUP(C670,customers!$A$2:$A$1001,customers!$C$2:$C$1001,,0,)))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10"/>
        <v>137.42499999999998</v>
      </c>
      <c r="N670" t="str" cm="1">
        <f t="array" ref="N670">_xlfn.IFS(I670="rob","Robusta",I670="exc","Excesla",I670="ara","Arabica",I670="lib","Liberica")</f>
        <v>Robusta</v>
      </c>
      <c r="O670" t="str" cm="1">
        <f t="array" ref="O670">_xlfn.IFS(J670="m","Medium",J670="l","Light",J670="d","Dark")</f>
        <v>Light</v>
      </c>
      <c r="P670" t="str">
        <f>_xlfn.XLOOKUP(orders[[#This Row],[Customer ID]],customers!$A$2:$A$1001,customers!$I$2:$I$1001,,0)</f>
        <v>Yes</v>
      </c>
    </row>
    <row r="671" spans="1:16" x14ac:dyDescent="0.3">
      <c r="A671" s="2" t="s">
        <v>4268</v>
      </c>
      <c r="B671" s="6">
        <v>44551</v>
      </c>
      <c r="C671" s="2" t="s">
        <v>4269</v>
      </c>
      <c r="D671" t="s">
        <v>6181</v>
      </c>
      <c r="E671" s="2">
        <v>2</v>
      </c>
      <c r="F671" s="2" t="str">
        <f>_xlfn.XLOOKUP(C671,customers!$A$1:$A$1001,customers!$B$1:$B$1001,,0,1)</f>
        <v>Ferdie Tourry</v>
      </c>
      <c r="G671" s="2" t="str">
        <f>IF((_xlfn.XLOOKUP(C671,customers!$A$2:$A$1001,customers!$C$2:$C$1001,,,)=0),"",(_xlfn.XLOOKUP(C671,customers!$A$2:$A$1001,customers!$C$2:$C$1001,,0,)))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10"/>
        <v>66.929999999999993</v>
      </c>
      <c r="N671" t="str" cm="1">
        <f t="array" ref="N671">_xlfn.IFS(I671="rob","Robusta",I671="exc","Excesla",I671="ara","Arabica",I671="lib","Liberica")</f>
        <v>Liberica</v>
      </c>
      <c r="O671" t="str" cm="1">
        <f t="array" ref="O671">_xlfn.IFS(J671="m","Medium",J671="l","Light",J671="d","Dark")</f>
        <v>Medium</v>
      </c>
      <c r="P671" t="str">
        <f>_xlfn.XLOOKUP(orders[[#This Row],[Customer ID]],customers!$A$2:$A$1001,customers!$I$2:$I$1001,,0)</f>
        <v>No</v>
      </c>
    </row>
    <row r="672" spans="1:16" x14ac:dyDescent="0.3">
      <c r="A672" s="2" t="s">
        <v>4274</v>
      </c>
      <c r="B672" s="6">
        <v>43606</v>
      </c>
      <c r="C672" s="2" t="s">
        <v>4275</v>
      </c>
      <c r="D672" t="s">
        <v>6159</v>
      </c>
      <c r="E672" s="2">
        <v>3</v>
      </c>
      <c r="F672" s="2" t="str">
        <f>_xlfn.XLOOKUP(C672,customers!$A$1:$A$1001,customers!$B$1:$B$1001,,0,1)</f>
        <v>Cecil Weatherall</v>
      </c>
      <c r="G672" s="2" t="str">
        <f>IF((_xlfn.XLOOKUP(C672,customers!$A$2:$A$1001,customers!$C$2:$C$1001,,,)=0),"",(_xlfn.XLOOKUP(C672,customers!$A$2:$A$1001,customers!$C$2:$C$1001,,0,)))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10"/>
        <v>13.095000000000001</v>
      </c>
      <c r="N672" t="str" cm="1">
        <f t="array" ref="N672">_xlfn.IFS(I672="rob","Robusta",I672="exc","Excesla",I672="ara","Arabica",I672="lib","Liberica")</f>
        <v>Liberica</v>
      </c>
      <c r="O672" t="str" cm="1">
        <f t="array" ref="O672">_xlfn.IFS(J672="m","Medium",J672="l","Light",J672="d","Dark")</f>
        <v>Medium</v>
      </c>
      <c r="P672" t="str">
        <f>_xlfn.XLOOKUP(orders[[#This Row],[Customer ID]],customers!$A$2:$A$1001,customers!$I$2:$I$1001,,0)</f>
        <v>Yes</v>
      </c>
    </row>
    <row r="673" spans="1:16" x14ac:dyDescent="0.3">
      <c r="A673" s="2" t="s">
        <v>4280</v>
      </c>
      <c r="B673" s="6">
        <v>44495</v>
      </c>
      <c r="C673" s="2" t="s">
        <v>4281</v>
      </c>
      <c r="D673" t="s">
        <v>6179</v>
      </c>
      <c r="E673" s="2">
        <v>5</v>
      </c>
      <c r="F673" s="2" t="str">
        <f>_xlfn.XLOOKUP(C673,customers!$A$1:$A$1001,customers!$B$1:$B$1001,,0,1)</f>
        <v>Gale Heindrick</v>
      </c>
      <c r="G673" s="2" t="str">
        <f>IF((_xlfn.XLOOKUP(C673,customers!$A$2:$A$1001,customers!$C$2:$C$1001,,,)=0),"",(_xlfn.XLOOKUP(C673,customers!$A$2:$A$1001,customers!$C$2:$C$1001,,0,)))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10"/>
        <v>59.75</v>
      </c>
      <c r="N673" t="str" cm="1">
        <f t="array" ref="N673">_xlfn.IFS(I673="rob","Robusta",I673="exc","Excesla",I673="ara","Arabica",I673="lib","Liberica")</f>
        <v>Robusta</v>
      </c>
      <c r="O673" t="str" cm="1">
        <f t="array" ref="O673">_xlfn.IFS(J673="m","Medium",J673="l","Light",J673="d","Dark")</f>
        <v>Light</v>
      </c>
      <c r="P673" t="str">
        <f>_xlfn.XLOOKUP(orders[[#This Row],[Customer ID]],customers!$A$2:$A$1001,customers!$I$2:$I$1001,,0)</f>
        <v>No</v>
      </c>
    </row>
    <row r="674" spans="1:16" x14ac:dyDescent="0.3">
      <c r="A674" s="2" t="s">
        <v>4286</v>
      </c>
      <c r="B674" s="6">
        <v>43916</v>
      </c>
      <c r="C674" s="2" t="s">
        <v>4287</v>
      </c>
      <c r="D674" t="s">
        <v>6160</v>
      </c>
      <c r="E674" s="2">
        <v>5</v>
      </c>
      <c r="F674" s="2" t="str">
        <f>_xlfn.XLOOKUP(C674,customers!$A$1:$A$1001,customers!$B$1:$B$1001,,0,1)</f>
        <v>Layne Imason</v>
      </c>
      <c r="G674" s="2" t="str">
        <f>IF((_xlfn.XLOOKUP(C674,customers!$A$2:$A$1001,customers!$C$2:$C$1001,,,)=0),"",(_xlfn.XLOOKUP(C674,customers!$A$2:$A$1001,customers!$C$2:$C$1001,,0,)))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10"/>
        <v>43.650000000000006</v>
      </c>
      <c r="N674" t="str" cm="1">
        <f t="array" ref="N674">_xlfn.IFS(I674="rob","Robusta",I674="exc","Excesla",I674="ara","Arabica",I674="lib","Liberica")</f>
        <v>Liberica</v>
      </c>
      <c r="O674" t="str" cm="1">
        <f t="array" ref="O674">_xlfn.IFS(J674="m","Medium",J674="l","Light",J674="d","Dark")</f>
        <v>Medium</v>
      </c>
      <c r="P674" t="str">
        <f>_xlfn.XLOOKUP(orders[[#This Row],[Customer ID]],customers!$A$2:$A$1001,customers!$I$2:$I$1001,,0)</f>
        <v>Yes</v>
      </c>
    </row>
    <row r="675" spans="1:16" x14ac:dyDescent="0.3">
      <c r="A675" s="2" t="s">
        <v>4291</v>
      </c>
      <c r="B675" s="6">
        <v>44118</v>
      </c>
      <c r="C675" s="2" t="s">
        <v>4292</v>
      </c>
      <c r="D675" t="s">
        <v>6141</v>
      </c>
      <c r="E675" s="2">
        <v>6</v>
      </c>
      <c r="F675" s="2" t="str">
        <f>_xlfn.XLOOKUP(C675,customers!$A$1:$A$1001,customers!$B$1:$B$1001,,0,1)</f>
        <v>Hazel Saill</v>
      </c>
      <c r="G675" s="2" t="str">
        <f>IF((_xlfn.XLOOKUP(C675,customers!$A$2:$A$1001,customers!$C$2:$C$1001,,,)=0),"",(_xlfn.XLOOKUP(C675,customers!$A$2:$A$1001,customers!$C$2:$C$1001,,0,)))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10"/>
        <v>82.5</v>
      </c>
      <c r="N675" t="str" cm="1">
        <f t="array" ref="N675">_xlfn.IFS(I675="rob","Robusta",I675="exc","Excesla",I675="ara","Arabica",I675="lib","Liberica")</f>
        <v>Excesla</v>
      </c>
      <c r="O675" t="str" cm="1">
        <f t="array" ref="O675">_xlfn.IFS(J675="m","Medium",J675="l","Light",J675="d","Dark")</f>
        <v>Medium</v>
      </c>
      <c r="P675" t="str">
        <f>_xlfn.XLOOKUP(orders[[#This Row],[Customer ID]],customers!$A$2:$A$1001,customers!$I$2:$I$1001,,0)</f>
        <v>Yes</v>
      </c>
    </row>
    <row r="676" spans="1:16" x14ac:dyDescent="0.3">
      <c r="A676" s="2" t="s">
        <v>4297</v>
      </c>
      <c r="B676" s="6">
        <v>44543</v>
      </c>
      <c r="C676" s="2" t="s">
        <v>4298</v>
      </c>
      <c r="D676" t="s">
        <v>6182</v>
      </c>
      <c r="E676" s="2">
        <v>6</v>
      </c>
      <c r="F676" s="2" t="str">
        <f>_xlfn.XLOOKUP(C676,customers!$A$1:$A$1001,customers!$B$1:$B$1001,,0,1)</f>
        <v>Hermann Larvor</v>
      </c>
      <c r="G676" s="2" t="str">
        <f>IF((_xlfn.XLOOKUP(C676,customers!$A$2:$A$1001,customers!$C$2:$C$1001,,,)=0),"",(_xlfn.XLOOKUP(C676,customers!$A$2:$A$1001,customers!$C$2:$C$1001,,0,)))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10"/>
        <v>178.70999999999998</v>
      </c>
      <c r="N676" t="str" cm="1">
        <f t="array" ref="N676">_xlfn.IFS(I676="rob","Robusta",I676="exc","Excesla",I676="ara","Arabica",I676="lib","Liberica")</f>
        <v>Arabica</v>
      </c>
      <c r="O676" t="str" cm="1">
        <f t="array" ref="O676">_xlfn.IFS(J676="m","Medium",J676="l","Light",J676="d","Dark")</f>
        <v>Light</v>
      </c>
      <c r="P676" t="str">
        <f>_xlfn.XLOOKUP(orders[[#This Row],[Customer ID]],customers!$A$2:$A$1001,customers!$I$2:$I$1001,,0)</f>
        <v>Yes</v>
      </c>
    </row>
    <row r="677" spans="1:16" x14ac:dyDescent="0.3">
      <c r="A677" s="2" t="s">
        <v>4303</v>
      </c>
      <c r="B677" s="6">
        <v>44263</v>
      </c>
      <c r="C677" s="2" t="s">
        <v>4304</v>
      </c>
      <c r="D677" t="s">
        <v>6165</v>
      </c>
      <c r="E677" s="2">
        <v>4</v>
      </c>
      <c r="F677" s="2" t="str">
        <f>_xlfn.XLOOKUP(C677,customers!$A$1:$A$1001,customers!$B$1:$B$1001,,0,1)</f>
        <v>Terri Lyford</v>
      </c>
      <c r="G677" s="2" t="str">
        <f>IF((_xlfn.XLOOKUP(C677,customers!$A$2:$A$1001,customers!$C$2:$C$1001,,,)=0),"",(_xlfn.XLOOKUP(C677,customers!$A$2:$A$1001,customers!$C$2:$C$1001,,0,)))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10"/>
        <v>119.13999999999999</v>
      </c>
      <c r="N677" t="str" cm="1">
        <f t="array" ref="N677">_xlfn.IFS(I677="rob","Robusta",I677="exc","Excesla",I677="ara","Arabica",I677="lib","Liberica")</f>
        <v>Liberica</v>
      </c>
      <c r="O677" t="str" cm="1">
        <f t="array" ref="O677">_xlfn.IFS(J677="m","Medium",J677="l","Light",J677="d","Dark")</f>
        <v>Dark</v>
      </c>
      <c r="P677" t="str">
        <f>_xlfn.XLOOKUP(orders[[#This Row],[Customer ID]],customers!$A$2:$A$1001,customers!$I$2:$I$1001,,0)</f>
        <v>Yes</v>
      </c>
    </row>
    <row r="678" spans="1:16" x14ac:dyDescent="0.3">
      <c r="A678" s="2" t="s">
        <v>4308</v>
      </c>
      <c r="B678" s="6">
        <v>44217</v>
      </c>
      <c r="C678" s="2" t="s">
        <v>4309</v>
      </c>
      <c r="D678" t="s">
        <v>6161</v>
      </c>
      <c r="E678" s="2">
        <v>5</v>
      </c>
      <c r="F678" s="2" t="str">
        <f>_xlfn.XLOOKUP(C678,customers!$A$1:$A$1001,customers!$B$1:$B$1001,,0,1)</f>
        <v>Gabey Cogan</v>
      </c>
      <c r="G678" s="2" t="str">
        <f>IF((_xlfn.XLOOKUP(C678,customers!$A$2:$A$1001,customers!$C$2:$C$1001,,,)=0),"",(_xlfn.XLOOKUP(C678,customers!$A$2:$A$1001,customers!$C$2:$C$1001,,0,)))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10"/>
        <v>47.55</v>
      </c>
      <c r="N678" t="str" cm="1">
        <f t="array" ref="N678">_xlfn.IFS(I678="rob","Robusta",I678="exc","Excesla",I678="ara","Arabica",I678="lib","Liberica")</f>
        <v>Liberica</v>
      </c>
      <c r="O678" t="str" cm="1">
        <f t="array" ref="O678">_xlfn.IFS(J678="m","Medium",J678="l","Light",J678="d","Dark")</f>
        <v>Light</v>
      </c>
      <c r="P678" t="str">
        <f>_xlfn.XLOOKUP(orders[[#This Row],[Customer ID]],customers!$A$2:$A$1001,customers!$I$2:$I$1001,,0)</f>
        <v>No</v>
      </c>
    </row>
    <row r="679" spans="1:16" x14ac:dyDescent="0.3">
      <c r="A679" s="2" t="s">
        <v>4313</v>
      </c>
      <c r="B679" s="6">
        <v>44206</v>
      </c>
      <c r="C679" s="2" t="s">
        <v>4314</v>
      </c>
      <c r="D679" t="s">
        <v>6160</v>
      </c>
      <c r="E679" s="2">
        <v>5</v>
      </c>
      <c r="F679" s="2" t="str">
        <f>_xlfn.XLOOKUP(C679,customers!$A$1:$A$1001,customers!$B$1:$B$1001,,0,1)</f>
        <v>Charin Penwarden</v>
      </c>
      <c r="G679" s="2" t="str">
        <f>IF((_xlfn.XLOOKUP(C679,customers!$A$2:$A$1001,customers!$C$2:$C$1001,,,)=0),"",(_xlfn.XLOOKUP(C679,customers!$A$2:$A$1001,customers!$C$2:$C$1001,,0,)))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10"/>
        <v>43.650000000000006</v>
      </c>
      <c r="N679" t="str" cm="1">
        <f t="array" ref="N679">_xlfn.IFS(I679="rob","Robusta",I679="exc","Excesla",I679="ara","Arabica",I679="lib","Liberica")</f>
        <v>Liberica</v>
      </c>
      <c r="O679" t="str" cm="1">
        <f t="array" ref="O679">_xlfn.IFS(J679="m","Medium",J679="l","Light",J679="d","Dark")</f>
        <v>Medium</v>
      </c>
      <c r="P679" t="str">
        <f>_xlfn.XLOOKUP(orders[[#This Row],[Customer ID]],customers!$A$2:$A$1001,customers!$I$2:$I$1001,,0)</f>
        <v>No</v>
      </c>
    </row>
    <row r="680" spans="1:16" x14ac:dyDescent="0.3">
      <c r="A680" s="2" t="s">
        <v>4319</v>
      </c>
      <c r="B680" s="6">
        <v>44281</v>
      </c>
      <c r="C680" s="2" t="s">
        <v>4320</v>
      </c>
      <c r="D680" t="s">
        <v>6182</v>
      </c>
      <c r="E680" s="2">
        <v>6</v>
      </c>
      <c r="F680" s="2" t="str">
        <f>_xlfn.XLOOKUP(C680,customers!$A$1:$A$1001,customers!$B$1:$B$1001,,0,1)</f>
        <v>Milty Middis</v>
      </c>
      <c r="G680" s="2" t="str">
        <f>IF((_xlfn.XLOOKUP(C680,customers!$A$2:$A$1001,customers!$C$2:$C$1001,,,)=0),"",(_xlfn.XLOOKUP(C680,customers!$A$2:$A$1001,customers!$C$2:$C$1001,,0,)))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10"/>
        <v>178.70999999999998</v>
      </c>
      <c r="N680" t="str" cm="1">
        <f t="array" ref="N680">_xlfn.IFS(I680="rob","Robusta",I680="exc","Excesla",I680="ara","Arabica",I680="lib","Liberica")</f>
        <v>Arabica</v>
      </c>
      <c r="O680" t="str" cm="1">
        <f t="array" ref="O680">_xlfn.IFS(J680="m","Medium",J680="l","Light",J680="d","Dark")</f>
        <v>Light</v>
      </c>
      <c r="P680" t="str">
        <f>_xlfn.XLOOKUP(orders[[#This Row],[Customer ID]],customers!$A$2:$A$1001,customers!$I$2:$I$1001,,0)</f>
        <v>Yes</v>
      </c>
    </row>
    <row r="681" spans="1:16" x14ac:dyDescent="0.3">
      <c r="A681" s="2" t="s">
        <v>4325</v>
      </c>
      <c r="B681" s="6">
        <v>44645</v>
      </c>
      <c r="C681" s="2" t="s">
        <v>4326</v>
      </c>
      <c r="D681" t="s">
        <v>6142</v>
      </c>
      <c r="E681" s="2">
        <v>1</v>
      </c>
      <c r="F681" s="2" t="str">
        <f>_xlfn.XLOOKUP(C681,customers!$A$1:$A$1001,customers!$B$1:$B$1001,,0,1)</f>
        <v>Adrianne Vairow</v>
      </c>
      <c r="G681" s="2" t="str">
        <f>IF((_xlfn.XLOOKUP(C681,customers!$A$2:$A$1001,customers!$C$2:$C$1001,,,)=0),"",(_xlfn.XLOOKUP(C681,customers!$A$2:$A$1001,customers!$C$2:$C$1001,,0,)))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10"/>
        <v>27.484999999999996</v>
      </c>
      <c r="N681" t="str" cm="1">
        <f t="array" ref="N681">_xlfn.IFS(I681="rob","Robusta",I681="exc","Excesla",I681="ara","Arabica",I681="lib","Liberica")</f>
        <v>Robusta</v>
      </c>
      <c r="O681" t="str" cm="1">
        <f t="array" ref="O681">_xlfn.IFS(J681="m","Medium",J681="l","Light",J681="d","Dark")</f>
        <v>Light</v>
      </c>
      <c r="P681" t="str">
        <f>_xlfn.XLOOKUP(orders[[#This Row],[Customer ID]],customers!$A$2:$A$1001,customers!$I$2:$I$1001,,0)</f>
        <v>No</v>
      </c>
    </row>
    <row r="682" spans="1:16" x14ac:dyDescent="0.3">
      <c r="A682" s="2" t="s">
        <v>4331</v>
      </c>
      <c r="B682" s="6">
        <v>44399</v>
      </c>
      <c r="C682" s="2" t="s">
        <v>4332</v>
      </c>
      <c r="D682" t="s">
        <v>6155</v>
      </c>
      <c r="E682" s="2">
        <v>5</v>
      </c>
      <c r="F682" s="2" t="str">
        <f>_xlfn.XLOOKUP(C682,customers!$A$1:$A$1001,customers!$B$1:$B$1001,,0,1)</f>
        <v>Anjanette Goldie</v>
      </c>
      <c r="G682" s="2" t="str">
        <f>IF((_xlfn.XLOOKUP(C682,customers!$A$2:$A$1001,customers!$C$2:$C$1001,,,)=0),"",(_xlfn.XLOOKUP(C682,customers!$A$2:$A$1001,customers!$C$2:$C$1001,,0,)))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10"/>
        <v>56.25</v>
      </c>
      <c r="N682" t="str" cm="1">
        <f t="array" ref="N682">_xlfn.IFS(I682="rob","Robusta",I682="exc","Excesla",I682="ara","Arabica",I682="lib","Liberica")</f>
        <v>Arabica</v>
      </c>
      <c r="O682" t="str" cm="1">
        <f t="array" ref="O682">_xlfn.IFS(J682="m","Medium",J682="l","Light",J682="d","Dark")</f>
        <v>Medium</v>
      </c>
      <c r="P682" t="str">
        <f>_xlfn.XLOOKUP(orders[[#This Row],[Customer ID]],customers!$A$2:$A$1001,customers!$I$2:$I$1001,,0)</f>
        <v>No</v>
      </c>
    </row>
    <row r="683" spans="1:16" x14ac:dyDescent="0.3">
      <c r="A683" s="2" t="s">
        <v>4336</v>
      </c>
      <c r="B683" s="6">
        <v>44080</v>
      </c>
      <c r="C683" s="2" t="s">
        <v>4337</v>
      </c>
      <c r="D683" t="s">
        <v>6145</v>
      </c>
      <c r="E683" s="2">
        <v>2</v>
      </c>
      <c r="F683" s="2" t="str">
        <f>_xlfn.XLOOKUP(C683,customers!$A$1:$A$1001,customers!$B$1:$B$1001,,0,1)</f>
        <v>Nicky Ayris</v>
      </c>
      <c r="G683" s="2" t="str">
        <f>IF((_xlfn.XLOOKUP(C683,customers!$A$2:$A$1001,customers!$C$2:$C$1001,,,)=0),"",(_xlfn.XLOOKUP(C683,customers!$A$2:$A$1001,customers!$C$2:$C$1001,,0,)))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10"/>
        <v>9.51</v>
      </c>
      <c r="N683" t="str" cm="1">
        <f t="array" ref="N683">_xlfn.IFS(I683="rob","Robusta",I683="exc","Excesla",I683="ara","Arabica",I683="lib","Liberica")</f>
        <v>Liberica</v>
      </c>
      <c r="O683" t="str" cm="1">
        <f t="array" ref="O683">_xlfn.IFS(J683="m","Medium",J683="l","Light",J683="d","Dark")</f>
        <v>Light</v>
      </c>
      <c r="P683" t="str">
        <f>_xlfn.XLOOKUP(orders[[#This Row],[Customer ID]],customers!$A$2:$A$1001,customers!$I$2:$I$1001,,0)</f>
        <v>Yes</v>
      </c>
    </row>
    <row r="684" spans="1:16" x14ac:dyDescent="0.3">
      <c r="A684" s="2" t="s">
        <v>4342</v>
      </c>
      <c r="B684" s="6">
        <v>43827</v>
      </c>
      <c r="C684" s="2" t="s">
        <v>4343</v>
      </c>
      <c r="D684" t="s">
        <v>6156</v>
      </c>
      <c r="E684" s="2">
        <v>2</v>
      </c>
      <c r="F684" s="2" t="str">
        <f>_xlfn.XLOOKUP(C684,customers!$A$1:$A$1001,customers!$B$1:$B$1001,,0,1)</f>
        <v>Laryssa Benediktovich</v>
      </c>
      <c r="G684" s="2" t="str">
        <f>IF((_xlfn.XLOOKUP(C684,customers!$A$2:$A$1001,customers!$C$2:$C$1001,,,)=0),"",(_xlfn.XLOOKUP(C684,customers!$A$2:$A$1001,customers!$C$2:$C$1001,,0,)))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10"/>
        <v>8.25</v>
      </c>
      <c r="N684" t="str" cm="1">
        <f t="array" ref="N684">_xlfn.IFS(I684="rob","Robusta",I684="exc","Excesla",I684="ara","Arabica",I684="lib","Liberica")</f>
        <v>Excesla</v>
      </c>
      <c r="O684" t="str" cm="1">
        <f t="array" ref="O684">_xlfn.IFS(J684="m","Medium",J684="l","Light",J684="d","Dark")</f>
        <v>Medium</v>
      </c>
      <c r="P684" t="str">
        <f>_xlfn.XLOOKUP(orders[[#This Row],[Customer ID]],customers!$A$2:$A$1001,customers!$I$2:$I$1001,,0)</f>
        <v>Yes</v>
      </c>
    </row>
    <row r="685" spans="1:16" x14ac:dyDescent="0.3">
      <c r="A685" s="2" t="s">
        <v>4348</v>
      </c>
      <c r="B685" s="6">
        <v>43941</v>
      </c>
      <c r="C685" s="2" t="s">
        <v>4349</v>
      </c>
      <c r="D685" t="s">
        <v>6169</v>
      </c>
      <c r="E685" s="2">
        <v>6</v>
      </c>
      <c r="F685" s="2" t="str">
        <f>_xlfn.XLOOKUP(C685,customers!$A$1:$A$1001,customers!$B$1:$B$1001,,0,1)</f>
        <v>Theo Jacobovitz</v>
      </c>
      <c r="G685" s="2" t="str">
        <f>IF((_xlfn.XLOOKUP(C685,customers!$A$2:$A$1001,customers!$C$2:$C$1001,,,)=0),"",(_xlfn.XLOOKUP(C685,customers!$A$2:$A$1001,customers!$C$2:$C$1001,,0,)))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10"/>
        <v>46.62</v>
      </c>
      <c r="N685" t="str" cm="1">
        <f t="array" ref="N685">_xlfn.IFS(I685="rob","Robusta",I685="exc","Excesla",I685="ara","Arabica",I685="lib","Liberica")</f>
        <v>Liberica</v>
      </c>
      <c r="O685" t="str" cm="1">
        <f t="array" ref="O685">_xlfn.IFS(J685="m","Medium",J685="l","Light",J685="d","Dark")</f>
        <v>Dark</v>
      </c>
      <c r="P685" t="str">
        <f>_xlfn.XLOOKUP(orders[[#This Row],[Customer ID]],customers!$A$2:$A$1001,customers!$I$2:$I$1001,,0)</f>
        <v>No</v>
      </c>
    </row>
    <row r="686" spans="1:16" x14ac:dyDescent="0.3">
      <c r="A686" s="2" t="s">
        <v>4354</v>
      </c>
      <c r="B686" s="6">
        <v>43517</v>
      </c>
      <c r="C686" s="2" t="s">
        <v>4355</v>
      </c>
      <c r="D686" t="s">
        <v>6179</v>
      </c>
      <c r="E686" s="2">
        <v>6</v>
      </c>
      <c r="F686" s="2" t="str">
        <f>_xlfn.XLOOKUP(C686,customers!$A$1:$A$1001,customers!$B$1:$B$1001,,0,1)</f>
        <v>Becca Ableson</v>
      </c>
      <c r="G686" s="2" t="str">
        <f>IF((_xlfn.XLOOKUP(C686,customers!$A$2:$A$1001,customers!$C$2:$C$1001,,,)=0),"",(_xlfn.XLOOKUP(C686,customers!$A$2:$A$1001,customers!$C$2:$C$1001,,0,)))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10"/>
        <v>71.699999999999989</v>
      </c>
      <c r="N686" t="str" cm="1">
        <f t="array" ref="N686">_xlfn.IFS(I686="rob","Robusta",I686="exc","Excesla",I686="ara","Arabica",I686="lib","Liberica")</f>
        <v>Robusta</v>
      </c>
      <c r="O686" t="str" cm="1">
        <f t="array" ref="O686">_xlfn.IFS(J686="m","Medium",J686="l","Light",J686="d","Dark")</f>
        <v>Light</v>
      </c>
      <c r="P686" t="str">
        <f>_xlfn.XLOOKUP(orders[[#This Row],[Customer ID]],customers!$A$2:$A$1001,customers!$I$2:$I$1001,,0)</f>
        <v>No</v>
      </c>
    </row>
    <row r="687" spans="1:16" x14ac:dyDescent="0.3">
      <c r="A687" s="2" t="s">
        <v>4359</v>
      </c>
      <c r="B687" s="6">
        <v>44637</v>
      </c>
      <c r="C687" s="2" t="s">
        <v>4360</v>
      </c>
      <c r="D687" t="s">
        <v>6164</v>
      </c>
      <c r="E687" s="2">
        <v>2</v>
      </c>
      <c r="F687" s="2" t="str">
        <f>_xlfn.XLOOKUP(C687,customers!$A$1:$A$1001,customers!$B$1:$B$1001,,0,1)</f>
        <v>Jeno Druitt</v>
      </c>
      <c r="G687" s="2" t="str">
        <f>IF((_xlfn.XLOOKUP(C687,customers!$A$2:$A$1001,customers!$C$2:$C$1001,,,)=0),"",(_xlfn.XLOOKUP(C687,customers!$A$2:$A$1001,customers!$C$2:$C$1001,,0,)))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10"/>
        <v>72.91</v>
      </c>
      <c r="N687" t="str" cm="1">
        <f t="array" ref="N687">_xlfn.IFS(I687="rob","Robusta",I687="exc","Excesla",I687="ara","Arabica",I687="lib","Liberica")</f>
        <v>Liberica</v>
      </c>
      <c r="O687" t="str" cm="1">
        <f t="array" ref="O687">_xlfn.IFS(J687="m","Medium",J687="l","Light",J687="d","Dark")</f>
        <v>Light</v>
      </c>
      <c r="P687" t="str">
        <f>_xlfn.XLOOKUP(orders[[#This Row],[Customer ID]],customers!$A$2:$A$1001,customers!$I$2:$I$1001,,0)</f>
        <v>Yes</v>
      </c>
    </row>
    <row r="688" spans="1:16" x14ac:dyDescent="0.3">
      <c r="A688" s="2" t="s">
        <v>4365</v>
      </c>
      <c r="B688" s="6">
        <v>44330</v>
      </c>
      <c r="C688" s="2" t="s">
        <v>4366</v>
      </c>
      <c r="D688" t="s">
        <v>6163</v>
      </c>
      <c r="E688" s="2">
        <v>3</v>
      </c>
      <c r="F688" s="2" t="str">
        <f>_xlfn.XLOOKUP(C688,customers!$A$1:$A$1001,customers!$B$1:$B$1001,,0,1)</f>
        <v>Deonne Shortall</v>
      </c>
      <c r="G688" s="2" t="str">
        <f>IF((_xlfn.XLOOKUP(C688,customers!$A$2:$A$1001,customers!$C$2:$C$1001,,,)=0),"",(_xlfn.XLOOKUP(C688,customers!$A$2:$A$1001,customers!$C$2:$C$1001,,0,)))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10"/>
        <v>8.0549999999999997</v>
      </c>
      <c r="N688" t="str" cm="1">
        <f t="array" ref="N688">_xlfn.IFS(I688="rob","Robusta",I688="exc","Excesla",I688="ara","Arabica",I688="lib","Liberica")</f>
        <v>Robusta</v>
      </c>
      <c r="O688" t="str" cm="1">
        <f t="array" ref="O688">_xlfn.IFS(J688="m","Medium",J688="l","Light",J688="d","Dark")</f>
        <v>Dark</v>
      </c>
      <c r="P688" t="str">
        <f>_xlfn.XLOOKUP(orders[[#This Row],[Customer ID]],customers!$A$2:$A$1001,customers!$I$2:$I$1001,,0)</f>
        <v>Yes</v>
      </c>
    </row>
    <row r="689" spans="1:16" x14ac:dyDescent="0.3">
      <c r="A689" s="2" t="s">
        <v>4371</v>
      </c>
      <c r="B689" s="6">
        <v>43471</v>
      </c>
      <c r="C689" s="2" t="s">
        <v>4372</v>
      </c>
      <c r="D689" t="s">
        <v>6139</v>
      </c>
      <c r="E689" s="2">
        <v>2</v>
      </c>
      <c r="F689" s="2" t="str">
        <f>_xlfn.XLOOKUP(C689,customers!$A$1:$A$1001,customers!$B$1:$B$1001,,0,1)</f>
        <v>Wilton Cottier</v>
      </c>
      <c r="G689" s="2" t="str">
        <f>IF((_xlfn.XLOOKUP(C689,customers!$A$2:$A$1001,customers!$C$2:$C$1001,,,)=0),"",(_xlfn.XLOOKUP(C689,customers!$A$2:$A$1001,customers!$C$2:$C$1001,,0,)))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10"/>
        <v>16.5</v>
      </c>
      <c r="N689" t="str" cm="1">
        <f t="array" ref="N689">_xlfn.IFS(I689="rob","Robusta",I689="exc","Excesla",I689="ara","Arabica",I689="lib","Liberica")</f>
        <v>Excesla</v>
      </c>
      <c r="O689" t="str" cm="1">
        <f t="array" ref="O689">_xlfn.IFS(J689="m","Medium",J689="l","Light",J689="d","Dark")</f>
        <v>Medium</v>
      </c>
      <c r="P689" t="str">
        <f>_xlfn.XLOOKUP(orders[[#This Row],[Customer ID]],customers!$A$2:$A$1001,customers!$I$2:$I$1001,,0)</f>
        <v>No</v>
      </c>
    </row>
    <row r="690" spans="1:16" x14ac:dyDescent="0.3">
      <c r="A690" s="2" t="s">
        <v>4377</v>
      </c>
      <c r="B690" s="6">
        <v>43579</v>
      </c>
      <c r="C690" s="2" t="s">
        <v>4378</v>
      </c>
      <c r="D690" t="s">
        <v>6140</v>
      </c>
      <c r="E690" s="2">
        <v>5</v>
      </c>
      <c r="F690" s="2" t="str">
        <f>_xlfn.XLOOKUP(C690,customers!$A$1:$A$1001,customers!$B$1:$B$1001,,0,1)</f>
        <v>Kevan Grinsted</v>
      </c>
      <c r="G690" s="2" t="str">
        <f>IF((_xlfn.XLOOKUP(C690,customers!$A$2:$A$1001,customers!$C$2:$C$1001,,,)=0),"",(_xlfn.XLOOKUP(C690,customers!$A$2:$A$1001,customers!$C$2:$C$1001,,0,)))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10"/>
        <v>64.75</v>
      </c>
      <c r="N690" t="str" cm="1">
        <f t="array" ref="N690">_xlfn.IFS(I690="rob","Robusta",I690="exc","Excesla",I690="ara","Arabica",I690="lib","Liberica")</f>
        <v>Arabica</v>
      </c>
      <c r="O690" t="str" cm="1">
        <f t="array" ref="O690">_xlfn.IFS(J690="m","Medium",J690="l","Light",J690="d","Dark")</f>
        <v>Light</v>
      </c>
      <c r="P690" t="str">
        <f>_xlfn.XLOOKUP(orders[[#This Row],[Customer ID]],customers!$A$2:$A$1001,customers!$I$2:$I$1001,,0)</f>
        <v>No</v>
      </c>
    </row>
    <row r="691" spans="1:16" x14ac:dyDescent="0.3">
      <c r="A691" s="2" t="s">
        <v>4383</v>
      </c>
      <c r="B691" s="6">
        <v>44346</v>
      </c>
      <c r="C691" s="2" t="s">
        <v>4384</v>
      </c>
      <c r="D691" t="s">
        <v>6157</v>
      </c>
      <c r="E691" s="2">
        <v>5</v>
      </c>
      <c r="F691" s="2" t="str">
        <f>_xlfn.XLOOKUP(C691,customers!$A$1:$A$1001,customers!$B$1:$B$1001,,0,1)</f>
        <v>Dionne Skyner</v>
      </c>
      <c r="G691" s="2" t="str">
        <f>IF((_xlfn.XLOOKUP(C691,customers!$A$2:$A$1001,customers!$C$2:$C$1001,,,)=0),"",(_xlfn.XLOOKUP(C691,customers!$A$2:$A$1001,customers!$C$2:$C$1001,,0,)))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10"/>
        <v>33.75</v>
      </c>
      <c r="N691" t="str" cm="1">
        <f t="array" ref="N691">_xlfn.IFS(I691="rob","Robusta",I691="exc","Excesla",I691="ara","Arabica",I691="lib","Liberica")</f>
        <v>Arabica</v>
      </c>
      <c r="O691" t="str" cm="1">
        <f t="array" ref="O691">_xlfn.IFS(J691="m","Medium",J691="l","Light",J691="d","Dark")</f>
        <v>Medium</v>
      </c>
      <c r="P691" t="str">
        <f>_xlfn.XLOOKUP(orders[[#This Row],[Customer ID]],customers!$A$2:$A$1001,customers!$I$2:$I$1001,,0)</f>
        <v>No</v>
      </c>
    </row>
    <row r="692" spans="1:16" x14ac:dyDescent="0.3">
      <c r="A692" s="2" t="s">
        <v>4389</v>
      </c>
      <c r="B692" s="6">
        <v>44754</v>
      </c>
      <c r="C692" s="2" t="s">
        <v>4390</v>
      </c>
      <c r="D692" t="s">
        <v>6165</v>
      </c>
      <c r="E692" s="2">
        <v>6</v>
      </c>
      <c r="F692" s="2" t="str">
        <f>_xlfn.XLOOKUP(C692,customers!$A$1:$A$1001,customers!$B$1:$B$1001,,0,1)</f>
        <v>Francesco Dressel</v>
      </c>
      <c r="G692" s="2" t="str">
        <f>IF((_xlfn.XLOOKUP(C692,customers!$A$2:$A$1001,customers!$C$2:$C$1001,,,)=0),"",(_xlfn.XLOOKUP(C692,customers!$A$2:$A$1001,customers!$C$2:$C$1001,,0,)))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10"/>
        <v>178.70999999999998</v>
      </c>
      <c r="N692" t="str" cm="1">
        <f t="array" ref="N692">_xlfn.IFS(I692="rob","Robusta",I692="exc","Excesla",I692="ara","Arabica",I692="lib","Liberica")</f>
        <v>Liberica</v>
      </c>
      <c r="O692" t="str" cm="1">
        <f t="array" ref="O692">_xlfn.IFS(J692="m","Medium",J692="l","Light",J692="d","Dark")</f>
        <v>Dark</v>
      </c>
      <c r="P692" t="str">
        <f>_xlfn.XLOOKUP(orders[[#This Row],[Customer ID]],customers!$A$2:$A$1001,customers!$I$2:$I$1001,,0)</f>
        <v>No</v>
      </c>
    </row>
    <row r="693" spans="1:16" x14ac:dyDescent="0.3">
      <c r="A693" s="2" t="s">
        <v>4393</v>
      </c>
      <c r="B693" s="6">
        <v>44227</v>
      </c>
      <c r="C693" s="2" t="s">
        <v>4434</v>
      </c>
      <c r="D693" t="s">
        <v>6155</v>
      </c>
      <c r="E693" s="2">
        <v>2</v>
      </c>
      <c r="F693" s="2" t="str">
        <f>_xlfn.XLOOKUP(C693,customers!$A$1:$A$1001,customers!$B$1:$B$1001,,0,1)</f>
        <v>Jimmy Dymoke</v>
      </c>
      <c r="G693" s="2" t="str">
        <f>IF((_xlfn.XLOOKUP(C693,customers!$A$2:$A$1001,customers!$C$2:$C$1001,,,)=0),"",(_xlfn.XLOOKUP(C693,customers!$A$2:$A$1001,customers!$C$2:$C$1001,,0,)))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10"/>
        <v>22.5</v>
      </c>
      <c r="N693" t="str" cm="1">
        <f t="array" ref="N693">_xlfn.IFS(I693="rob","Robusta",I693="exc","Excesla",I693="ara","Arabica",I693="lib","Liberica")</f>
        <v>Arabica</v>
      </c>
      <c r="O693" t="str" cm="1">
        <f t="array" ref="O693">_xlfn.IFS(J693="m","Medium",J693="l","Light",J693="d","Dark")</f>
        <v>Medium</v>
      </c>
      <c r="P693" t="str">
        <f>_xlfn.XLOOKUP(orders[[#This Row],[Customer ID]],customers!$A$2:$A$1001,customers!$I$2:$I$1001,,0)</f>
        <v>No</v>
      </c>
    </row>
    <row r="694" spans="1:16" x14ac:dyDescent="0.3">
      <c r="A694" s="2" t="s">
        <v>4399</v>
      </c>
      <c r="B694" s="6">
        <v>43720</v>
      </c>
      <c r="C694" s="2" t="s">
        <v>4400</v>
      </c>
      <c r="D694" t="s">
        <v>6143</v>
      </c>
      <c r="E694" s="2">
        <v>1</v>
      </c>
      <c r="F694" s="2" t="str">
        <f>_xlfn.XLOOKUP(C694,customers!$A$1:$A$1001,customers!$B$1:$B$1001,,0,1)</f>
        <v>Ambrosio Weinmann</v>
      </c>
      <c r="G694" s="2" t="str">
        <f>IF((_xlfn.XLOOKUP(C694,customers!$A$2:$A$1001,customers!$C$2:$C$1001,,,)=0),"",(_xlfn.XLOOKUP(C694,customers!$A$2:$A$1001,customers!$C$2:$C$1001,,0,)))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10"/>
        <v>12.95</v>
      </c>
      <c r="N694" t="str" cm="1">
        <f t="array" ref="N694">_xlfn.IFS(I694="rob","Robusta",I694="exc","Excesla",I694="ara","Arabica",I694="lib","Liberica")</f>
        <v>Liberica</v>
      </c>
      <c r="O694" t="str" cm="1">
        <f t="array" ref="O694">_xlfn.IFS(J694="m","Medium",J694="l","Light",J694="d","Dark")</f>
        <v>Dark</v>
      </c>
      <c r="P694" t="str">
        <f>_xlfn.XLOOKUP(orders[[#This Row],[Customer ID]],customers!$A$2:$A$1001,customers!$I$2:$I$1001,,0)</f>
        <v>No</v>
      </c>
    </row>
    <row r="695" spans="1:16" x14ac:dyDescent="0.3">
      <c r="A695" s="2" t="s">
        <v>4405</v>
      </c>
      <c r="B695" s="6">
        <v>44012</v>
      </c>
      <c r="C695" s="2" t="s">
        <v>4406</v>
      </c>
      <c r="D695" t="s">
        <v>6175</v>
      </c>
      <c r="E695" s="2">
        <v>2</v>
      </c>
      <c r="F695" s="2" t="str">
        <f>_xlfn.XLOOKUP(C695,customers!$A$1:$A$1001,customers!$B$1:$B$1001,,0,1)</f>
        <v>Elden Andriessen</v>
      </c>
      <c r="G695" s="2" t="str">
        <f>IF((_xlfn.XLOOKUP(C695,customers!$A$2:$A$1001,customers!$C$2:$C$1001,,,)=0),"",(_xlfn.XLOOKUP(C695,customers!$A$2:$A$1001,customers!$C$2:$C$1001,,0,)))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10"/>
        <v>51.749999999999993</v>
      </c>
      <c r="N695" t="str" cm="1">
        <f t="array" ref="N695">_xlfn.IFS(I695="rob","Robusta",I695="exc","Excesla",I695="ara","Arabica",I695="lib","Liberica")</f>
        <v>Arabica</v>
      </c>
      <c r="O695" t="str" cm="1">
        <f t="array" ref="O695">_xlfn.IFS(J695="m","Medium",J695="l","Light",J695="d","Dark")</f>
        <v>Medium</v>
      </c>
      <c r="P695" t="str">
        <f>_xlfn.XLOOKUP(orders[[#This Row],[Customer ID]],customers!$A$2:$A$1001,customers!$I$2:$I$1001,,0)</f>
        <v>Yes</v>
      </c>
    </row>
    <row r="696" spans="1:16" x14ac:dyDescent="0.3">
      <c r="A696" s="2" t="s">
        <v>4411</v>
      </c>
      <c r="B696" s="6">
        <v>43915</v>
      </c>
      <c r="C696" s="2" t="s">
        <v>4412</v>
      </c>
      <c r="D696" t="s">
        <v>6144</v>
      </c>
      <c r="E696" s="2">
        <v>5</v>
      </c>
      <c r="F696" s="2" t="str">
        <f>_xlfn.XLOOKUP(C696,customers!$A$1:$A$1001,customers!$B$1:$B$1001,,0,1)</f>
        <v>Roxie Deaconson</v>
      </c>
      <c r="G696" s="2" t="str">
        <f>IF((_xlfn.XLOOKUP(C696,customers!$A$2:$A$1001,customers!$C$2:$C$1001,,,)=0),"",(_xlfn.XLOOKUP(C696,customers!$A$2:$A$1001,customers!$C$2:$C$1001,,0,)))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10"/>
        <v>36.450000000000003</v>
      </c>
      <c r="N696" t="str" cm="1">
        <f t="array" ref="N696">_xlfn.IFS(I696="rob","Robusta",I696="exc","Excesla",I696="ara","Arabica",I696="lib","Liberica")</f>
        <v>Excesla</v>
      </c>
      <c r="O696" t="str" cm="1">
        <f t="array" ref="O696">_xlfn.IFS(J696="m","Medium",J696="l","Light",J696="d","Dark")</f>
        <v>Dark</v>
      </c>
      <c r="P696" t="str">
        <f>_xlfn.XLOOKUP(orders[[#This Row],[Customer ID]],customers!$A$2:$A$1001,customers!$I$2:$I$1001,,0)</f>
        <v>No</v>
      </c>
    </row>
    <row r="697" spans="1:16" x14ac:dyDescent="0.3">
      <c r="A697" s="2" t="s">
        <v>4417</v>
      </c>
      <c r="B697" s="6">
        <v>44300</v>
      </c>
      <c r="C697" s="2" t="s">
        <v>4418</v>
      </c>
      <c r="D697" t="s">
        <v>6164</v>
      </c>
      <c r="E697" s="2">
        <v>5</v>
      </c>
      <c r="F697" s="2" t="str">
        <f>_xlfn.XLOOKUP(C697,customers!$A$1:$A$1001,customers!$B$1:$B$1001,,0,1)</f>
        <v>Davida Caro</v>
      </c>
      <c r="G697" s="2" t="str">
        <f>IF((_xlfn.XLOOKUP(C697,customers!$A$2:$A$1001,customers!$C$2:$C$1001,,,)=0),"",(_xlfn.XLOOKUP(C697,customers!$A$2:$A$1001,customers!$C$2:$C$1001,,0,)))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10"/>
        <v>182.27499999999998</v>
      </c>
      <c r="N697" t="str" cm="1">
        <f t="array" ref="N697">_xlfn.IFS(I697="rob","Robusta",I697="exc","Excesla",I697="ara","Arabica",I697="lib","Liberica")</f>
        <v>Liberica</v>
      </c>
      <c r="O697" t="str" cm="1">
        <f t="array" ref="O697">_xlfn.IFS(J697="m","Medium",J697="l","Light",J697="d","Dark")</f>
        <v>Light</v>
      </c>
      <c r="P697" t="str">
        <f>_xlfn.XLOOKUP(orders[[#This Row],[Customer ID]],customers!$A$2:$A$1001,customers!$I$2:$I$1001,,0)</f>
        <v>Yes</v>
      </c>
    </row>
    <row r="698" spans="1:16" x14ac:dyDescent="0.3">
      <c r="A698" s="2" t="s">
        <v>4423</v>
      </c>
      <c r="B698" s="6">
        <v>43693</v>
      </c>
      <c r="C698" s="2" t="s">
        <v>4424</v>
      </c>
      <c r="D698" t="s">
        <v>6169</v>
      </c>
      <c r="E698" s="2">
        <v>4</v>
      </c>
      <c r="F698" s="2" t="str">
        <f>_xlfn.XLOOKUP(C698,customers!$A$1:$A$1001,customers!$B$1:$B$1001,,0,1)</f>
        <v>Johna Bluck</v>
      </c>
      <c r="G698" s="2" t="str">
        <f>IF((_xlfn.XLOOKUP(C698,customers!$A$2:$A$1001,customers!$C$2:$C$1001,,,)=0),"",(_xlfn.XLOOKUP(C698,customers!$A$2:$A$1001,customers!$C$2:$C$1001,,0,)))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10"/>
        <v>31.08</v>
      </c>
      <c r="N698" t="str" cm="1">
        <f t="array" ref="N698">_xlfn.IFS(I698="rob","Robusta",I698="exc","Excesla",I698="ara","Arabica",I698="lib","Liberica")</f>
        <v>Liberica</v>
      </c>
      <c r="O698" t="str" cm="1">
        <f t="array" ref="O698">_xlfn.IFS(J698="m","Medium",J698="l","Light",J698="d","Dark")</f>
        <v>Dark</v>
      </c>
      <c r="P698" t="str">
        <f>_xlfn.XLOOKUP(orders[[#This Row],[Customer ID]],customers!$A$2:$A$1001,customers!$I$2:$I$1001,,0)</f>
        <v>No</v>
      </c>
    </row>
    <row r="699" spans="1:16" x14ac:dyDescent="0.3">
      <c r="A699" s="2" t="s">
        <v>4429</v>
      </c>
      <c r="B699" s="6">
        <v>44547</v>
      </c>
      <c r="C699" s="2" t="s">
        <v>4430</v>
      </c>
      <c r="D699" t="s">
        <v>6157</v>
      </c>
      <c r="E699" s="2">
        <v>3</v>
      </c>
      <c r="F699" s="2" t="str">
        <f>_xlfn.XLOOKUP(C699,customers!$A$1:$A$1001,customers!$B$1:$B$1001,,0,1)</f>
        <v>Myrle Dearden</v>
      </c>
      <c r="G699" s="2" t="str">
        <f>IF((_xlfn.XLOOKUP(C699,customers!$A$2:$A$1001,customers!$C$2:$C$1001,,,)=0),"",(_xlfn.XLOOKUP(C699,customers!$A$2:$A$1001,customers!$C$2:$C$1001,,0,)))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10"/>
        <v>20.25</v>
      </c>
      <c r="N699" t="str" cm="1">
        <f t="array" ref="N699">_xlfn.IFS(I699="rob","Robusta",I699="exc","Excesla",I699="ara","Arabica",I699="lib","Liberica")</f>
        <v>Arabica</v>
      </c>
      <c r="O699" t="str" cm="1">
        <f t="array" ref="O699">_xlfn.IFS(J699="m","Medium",J699="l","Light",J699="d","Dark")</f>
        <v>Medium</v>
      </c>
      <c r="P699" t="str">
        <f>_xlfn.XLOOKUP(orders[[#This Row],[Customer ID]],customers!$A$2:$A$1001,customers!$I$2:$I$1001,,0)</f>
        <v>No</v>
      </c>
    </row>
    <row r="700" spans="1:16" x14ac:dyDescent="0.3">
      <c r="A700" s="2" t="s">
        <v>4433</v>
      </c>
      <c r="B700" s="6">
        <v>43830</v>
      </c>
      <c r="C700" s="2" t="s">
        <v>4434</v>
      </c>
      <c r="D700" t="s">
        <v>6143</v>
      </c>
      <c r="E700" s="2">
        <v>2</v>
      </c>
      <c r="F700" s="2" t="str">
        <f>_xlfn.XLOOKUP(C700,customers!$A$1:$A$1001,customers!$B$1:$B$1001,,0,1)</f>
        <v>Jimmy Dymoke</v>
      </c>
      <c r="G700" s="2" t="str">
        <f>IF((_xlfn.XLOOKUP(C700,customers!$A$2:$A$1001,customers!$C$2:$C$1001,,,)=0),"",(_xlfn.XLOOKUP(C700,customers!$A$2:$A$1001,customers!$C$2:$C$1001,,0,)))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10"/>
        <v>25.9</v>
      </c>
      <c r="N700" t="str" cm="1">
        <f t="array" ref="N700">_xlfn.IFS(I700="rob","Robusta",I700="exc","Excesla",I700="ara","Arabica",I700="lib","Liberica")</f>
        <v>Liberica</v>
      </c>
      <c r="O700" t="str" cm="1">
        <f t="array" ref="O700">_xlfn.IFS(J700="m","Medium",J700="l","Light",J700="d","Dark")</f>
        <v>Dark</v>
      </c>
      <c r="P700" t="str">
        <f>_xlfn.XLOOKUP(orders[[#This Row],[Customer ID]],customers!$A$2:$A$1001,customers!$I$2:$I$1001,,0)</f>
        <v>No</v>
      </c>
    </row>
    <row r="701" spans="1:16" x14ac:dyDescent="0.3">
      <c r="A701" s="2" t="s">
        <v>4439</v>
      </c>
      <c r="B701" s="6">
        <v>44298</v>
      </c>
      <c r="C701" s="2" t="s">
        <v>4440</v>
      </c>
      <c r="D701" t="s">
        <v>6158</v>
      </c>
      <c r="E701" s="2">
        <v>4</v>
      </c>
      <c r="F701" s="2" t="str">
        <f>_xlfn.XLOOKUP(C701,customers!$A$1:$A$1001,customers!$B$1:$B$1001,,0,1)</f>
        <v>Orland Tadman</v>
      </c>
      <c r="G701" s="2" t="str">
        <f>IF((_xlfn.XLOOKUP(C701,customers!$A$2:$A$1001,customers!$C$2:$C$1001,,,)=0),"",(_xlfn.XLOOKUP(C701,customers!$A$2:$A$1001,customers!$C$2:$C$1001,,0,)))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10"/>
        <v>23.88</v>
      </c>
      <c r="N701" t="str" cm="1">
        <f t="array" ref="N701">_xlfn.IFS(I701="rob","Robusta",I701="exc","Excesla",I701="ara","Arabica",I701="lib","Liberica")</f>
        <v>Arabica</v>
      </c>
      <c r="O701" t="str" cm="1">
        <f t="array" ref="O701">_xlfn.IFS(J701="m","Medium",J701="l","Light",J701="d","Dark")</f>
        <v>Dark</v>
      </c>
      <c r="P701" t="str">
        <f>_xlfn.XLOOKUP(orders[[#This Row],[Customer ID]],customers!$A$2:$A$1001,customers!$I$2:$I$1001,,0)</f>
        <v>Yes</v>
      </c>
    </row>
    <row r="702" spans="1:16" x14ac:dyDescent="0.3">
      <c r="A702" s="2" t="s">
        <v>4445</v>
      </c>
      <c r="B702" s="6">
        <v>43736</v>
      </c>
      <c r="C702" s="2" t="s">
        <v>4446</v>
      </c>
      <c r="D702" t="s">
        <v>6161</v>
      </c>
      <c r="E702" s="2">
        <v>2</v>
      </c>
      <c r="F702" s="2" t="str">
        <f>_xlfn.XLOOKUP(C702,customers!$A$1:$A$1001,customers!$B$1:$B$1001,,0,1)</f>
        <v>Barrett Gudde</v>
      </c>
      <c r="G702" s="2" t="str">
        <f>IF((_xlfn.XLOOKUP(C702,customers!$A$2:$A$1001,customers!$C$2:$C$1001,,,)=0),"",(_xlfn.XLOOKUP(C702,customers!$A$2:$A$1001,customers!$C$2:$C$1001,,0,)))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10"/>
        <v>19.02</v>
      </c>
      <c r="N702" t="str" cm="1">
        <f t="array" ref="N702">_xlfn.IFS(I702="rob","Robusta",I702="exc","Excesla",I702="ara","Arabica",I702="lib","Liberica")</f>
        <v>Liberica</v>
      </c>
      <c r="O702" t="str" cm="1">
        <f t="array" ref="O702">_xlfn.IFS(J702="m","Medium",J702="l","Light",J702="d","Dark")</f>
        <v>Light</v>
      </c>
      <c r="P702" t="str">
        <f>_xlfn.XLOOKUP(orders[[#This Row],[Customer ID]],customers!$A$2:$A$1001,customers!$I$2:$I$1001,,0)</f>
        <v>No</v>
      </c>
    </row>
    <row r="703" spans="1:16" x14ac:dyDescent="0.3">
      <c r="A703" s="2" t="s">
        <v>4450</v>
      </c>
      <c r="B703" s="6">
        <v>44727</v>
      </c>
      <c r="C703" s="2" t="s">
        <v>4451</v>
      </c>
      <c r="D703" t="s">
        <v>6158</v>
      </c>
      <c r="E703" s="2">
        <v>5</v>
      </c>
      <c r="F703" s="2" t="str">
        <f>_xlfn.XLOOKUP(C703,customers!$A$1:$A$1001,customers!$B$1:$B$1001,,0,1)</f>
        <v>Nathan Sictornes</v>
      </c>
      <c r="G703" s="2" t="str">
        <f>IF((_xlfn.XLOOKUP(C703,customers!$A$2:$A$1001,customers!$C$2:$C$1001,,,)=0),"",(_xlfn.XLOOKUP(C703,customers!$A$2:$A$1001,customers!$C$2:$C$1001,,0,)))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10"/>
        <v>29.849999999999998</v>
      </c>
      <c r="N703" t="str" cm="1">
        <f t="array" ref="N703">_xlfn.IFS(I703="rob","Robusta",I703="exc","Excesla",I703="ara","Arabica",I703="lib","Liberica")</f>
        <v>Arabica</v>
      </c>
      <c r="O703" t="str" cm="1">
        <f t="array" ref="O703">_xlfn.IFS(J703="m","Medium",J703="l","Light",J703="d","Dark")</f>
        <v>Dark</v>
      </c>
      <c r="P703" t="str">
        <f>_xlfn.XLOOKUP(orders[[#This Row],[Customer ID]],customers!$A$2:$A$1001,customers!$I$2:$I$1001,,0)</f>
        <v>Yes</v>
      </c>
    </row>
    <row r="704" spans="1:16" x14ac:dyDescent="0.3">
      <c r="A704" s="2" t="s">
        <v>4456</v>
      </c>
      <c r="B704" s="6">
        <v>43661</v>
      </c>
      <c r="C704" s="2" t="s">
        <v>4457</v>
      </c>
      <c r="D704" t="s">
        <v>6180</v>
      </c>
      <c r="E704" s="2">
        <v>1</v>
      </c>
      <c r="F704" s="2" t="str">
        <f>_xlfn.XLOOKUP(C704,customers!$A$1:$A$1001,customers!$B$1:$B$1001,,0,1)</f>
        <v>Vivyan Dunning</v>
      </c>
      <c r="G704" s="2" t="str">
        <f>IF((_xlfn.XLOOKUP(C704,customers!$A$2:$A$1001,customers!$C$2:$C$1001,,,)=0),"",(_xlfn.XLOOKUP(C704,customers!$A$2:$A$1001,customers!$C$2:$C$1001,,0,)))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10"/>
        <v>7.77</v>
      </c>
      <c r="N704" t="str" cm="1">
        <f t="array" ref="N704">_xlfn.IFS(I704="rob","Robusta",I704="exc","Excesla",I704="ara","Arabica",I704="lib","Liberica")</f>
        <v>Arabica</v>
      </c>
      <c r="O704" t="str" cm="1">
        <f t="array" ref="O704">_xlfn.IFS(J704="m","Medium",J704="l","Light",J704="d","Dark")</f>
        <v>Light</v>
      </c>
      <c r="P704" t="str">
        <f>_xlfn.XLOOKUP(orders[[#This Row],[Customer ID]],customers!$A$2:$A$1001,customers!$I$2:$I$1001,,0)</f>
        <v>Yes</v>
      </c>
    </row>
    <row r="705" spans="1:16" x14ac:dyDescent="0.3">
      <c r="A705" s="2" t="s">
        <v>4461</v>
      </c>
      <c r="B705" s="6">
        <v>43506</v>
      </c>
      <c r="C705" s="2" t="s">
        <v>4462</v>
      </c>
      <c r="D705" t="s">
        <v>6165</v>
      </c>
      <c r="E705" s="2">
        <v>4</v>
      </c>
      <c r="F705" s="2" t="str">
        <f>_xlfn.XLOOKUP(C705,customers!$A$1:$A$1001,customers!$B$1:$B$1001,,0,1)</f>
        <v>Doralin Baison</v>
      </c>
      <c r="G705" s="2" t="str">
        <f>IF((_xlfn.XLOOKUP(C705,customers!$A$2:$A$1001,customers!$C$2:$C$1001,,,)=0),"",(_xlfn.XLOOKUP(C705,customers!$A$2:$A$1001,customers!$C$2:$C$1001,,0,)))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10"/>
        <v>119.13999999999999</v>
      </c>
      <c r="N705" t="str" cm="1">
        <f t="array" ref="N705">_xlfn.IFS(I705="rob","Robusta",I705="exc","Excesla",I705="ara","Arabica",I705="lib","Liberica")</f>
        <v>Liberica</v>
      </c>
      <c r="O705" t="str" cm="1">
        <f t="array" ref="O705">_xlfn.IFS(J705="m","Medium",J705="l","Light",J705="d","Dark")</f>
        <v>Dark</v>
      </c>
      <c r="P705" t="str">
        <f>_xlfn.XLOOKUP(orders[[#This Row],[Customer ID]],customers!$A$2:$A$1001,customers!$I$2:$I$1001,,0)</f>
        <v>Yes</v>
      </c>
    </row>
    <row r="706" spans="1:16" x14ac:dyDescent="0.3">
      <c r="A706" s="2" t="s">
        <v>4466</v>
      </c>
      <c r="B706" s="6">
        <v>44716</v>
      </c>
      <c r="C706" s="2" t="s">
        <v>4467</v>
      </c>
      <c r="D706" t="s">
        <v>6153</v>
      </c>
      <c r="E706" s="2">
        <v>6</v>
      </c>
      <c r="F706" s="2" t="str">
        <f>_xlfn.XLOOKUP(C706,customers!$A$1:$A$1001,customers!$B$1:$B$1001,,0,1)</f>
        <v>Josefina Ferens</v>
      </c>
      <c r="G706" s="2" t="str">
        <f>IF((_xlfn.XLOOKUP(C706,customers!$A$2:$A$1001,customers!$C$2:$C$1001,,,)=0),"",(_xlfn.XLOOKUP(C706,customers!$A$2:$A$1001,customers!$C$2:$C$1001,,0,)))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10"/>
        <v>21.87</v>
      </c>
      <c r="N706" t="str" cm="1">
        <f t="array" ref="N706">_xlfn.IFS(I706="rob","Robusta",I706="exc","Excesla",I706="ara","Arabica",I706="lib","Liberica")</f>
        <v>Excesla</v>
      </c>
      <c r="O706" t="str" cm="1">
        <f t="array" ref="O706">_xlfn.IFS(J706="m","Medium",J706="l","Light",J706="d","Dark")</f>
        <v>Dark</v>
      </c>
      <c r="P706" t="str">
        <f>_xlfn.XLOOKUP(orders[[#This Row],[Customer ID]],customers!$A$2:$A$1001,customers!$I$2:$I$1001,,0)</f>
        <v>Yes</v>
      </c>
    </row>
    <row r="707" spans="1:16" x14ac:dyDescent="0.3">
      <c r="A707" s="2" t="s">
        <v>4471</v>
      </c>
      <c r="B707" s="6">
        <v>44114</v>
      </c>
      <c r="C707" s="2" t="s">
        <v>4472</v>
      </c>
      <c r="D707" t="s">
        <v>6176</v>
      </c>
      <c r="E707" s="2">
        <v>2</v>
      </c>
      <c r="F707" s="2" t="str">
        <f>_xlfn.XLOOKUP(C707,customers!$A$1:$A$1001,customers!$B$1:$B$1001,,0,1)</f>
        <v>Shelley Gehring</v>
      </c>
      <c r="G707" s="2" t="str">
        <f>IF((_xlfn.XLOOKUP(C707,customers!$A$2:$A$1001,customers!$C$2:$C$1001,,,)=0),"",(_xlfn.XLOOKUP(C707,customers!$A$2:$A$1001,customers!$C$2:$C$1001,,0,)))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11">L707*E707</f>
        <v>17.82</v>
      </c>
      <c r="N707" t="str" cm="1">
        <f t="array" ref="N707">_xlfn.IFS(I707="rob","Robusta",I707="exc","Excesla",I707="ara","Arabica",I707="lib","Liberica")</f>
        <v>Excesla</v>
      </c>
      <c r="O707" t="str" cm="1">
        <f t="array" ref="O707">_xlfn.IFS(J707="m","Medium",J707="l","Light",J707="d","Dark")</f>
        <v>Light</v>
      </c>
      <c r="P707" t="str">
        <f>_xlfn.XLOOKUP(orders[[#This Row],[Customer ID]],customers!$A$2:$A$1001,customers!$I$2:$I$1001,,0)</f>
        <v>No</v>
      </c>
    </row>
    <row r="708" spans="1:16" x14ac:dyDescent="0.3">
      <c r="A708" s="2" t="s">
        <v>4477</v>
      </c>
      <c r="B708" s="6">
        <v>44353</v>
      </c>
      <c r="C708" s="2" t="s">
        <v>4478</v>
      </c>
      <c r="D708" t="s">
        <v>6156</v>
      </c>
      <c r="E708" s="2">
        <v>3</v>
      </c>
      <c r="F708" s="2" t="str">
        <f>_xlfn.XLOOKUP(C708,customers!$A$1:$A$1001,customers!$B$1:$B$1001,,0,1)</f>
        <v>Barrie Fallowes</v>
      </c>
      <c r="G708" s="2" t="str">
        <f>IF((_xlfn.XLOOKUP(C708,customers!$A$2:$A$1001,customers!$C$2:$C$1001,,,)=0),"",(_xlfn.XLOOKUP(C708,customers!$A$2:$A$1001,customers!$C$2:$C$1001,,0,)))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11"/>
        <v>12.375</v>
      </c>
      <c r="N708" t="str" cm="1">
        <f t="array" ref="N708">_xlfn.IFS(I708="rob","Robusta",I708="exc","Excesla",I708="ara","Arabica",I708="lib","Liberica")</f>
        <v>Excesla</v>
      </c>
      <c r="O708" t="str" cm="1">
        <f t="array" ref="O708">_xlfn.IFS(J708="m","Medium",J708="l","Light",J708="d","Dark")</f>
        <v>Medium</v>
      </c>
      <c r="P708" t="str">
        <f>_xlfn.XLOOKUP(orders[[#This Row],[Customer ID]],customers!$A$2:$A$1001,customers!$I$2:$I$1001,,0)</f>
        <v>No</v>
      </c>
    </row>
    <row r="709" spans="1:16" x14ac:dyDescent="0.3">
      <c r="A709" s="2" t="s">
        <v>4483</v>
      </c>
      <c r="B709" s="6">
        <v>43540</v>
      </c>
      <c r="C709" s="2" t="s">
        <v>4484</v>
      </c>
      <c r="D709" t="s">
        <v>6143</v>
      </c>
      <c r="E709" s="2">
        <v>2</v>
      </c>
      <c r="F709" s="2" t="str">
        <f>_xlfn.XLOOKUP(C709,customers!$A$1:$A$1001,customers!$B$1:$B$1001,,0,1)</f>
        <v>Nicolas Aiton</v>
      </c>
      <c r="G709" s="2" t="str">
        <f>IF((_xlfn.XLOOKUP(C709,customers!$A$2:$A$1001,customers!$C$2:$C$1001,,,)=0),"",(_xlfn.XLOOKUP(C709,customers!$A$2:$A$1001,customers!$C$2:$C$1001,,0,)))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11"/>
        <v>25.9</v>
      </c>
      <c r="N709" t="str" cm="1">
        <f t="array" ref="N709">_xlfn.IFS(I709="rob","Robusta",I709="exc","Excesla",I709="ara","Arabica",I709="lib","Liberica")</f>
        <v>Liberica</v>
      </c>
      <c r="O709" t="str" cm="1">
        <f t="array" ref="O709">_xlfn.IFS(J709="m","Medium",J709="l","Light",J709="d","Dark")</f>
        <v>Dark</v>
      </c>
      <c r="P709" t="str">
        <f>_xlfn.XLOOKUP(orders[[#This Row],[Customer ID]],customers!$A$2:$A$1001,customers!$I$2:$I$1001,,0)</f>
        <v>No</v>
      </c>
    </row>
    <row r="710" spans="1:16" x14ac:dyDescent="0.3">
      <c r="A710" s="2" t="s">
        <v>4488</v>
      </c>
      <c r="B710" s="6">
        <v>43804</v>
      </c>
      <c r="C710" s="2" t="s">
        <v>4489</v>
      </c>
      <c r="D710" t="s">
        <v>6157</v>
      </c>
      <c r="E710" s="2">
        <v>2</v>
      </c>
      <c r="F710" s="2" t="str">
        <f>_xlfn.XLOOKUP(C710,customers!$A$1:$A$1001,customers!$B$1:$B$1001,,0,1)</f>
        <v>Shelli De Banke</v>
      </c>
      <c r="G710" s="2" t="str">
        <f>IF((_xlfn.XLOOKUP(C710,customers!$A$2:$A$1001,customers!$C$2:$C$1001,,,)=0),"",(_xlfn.XLOOKUP(C710,customers!$A$2:$A$1001,customers!$C$2:$C$1001,,0,)))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11"/>
        <v>13.5</v>
      </c>
      <c r="N710" t="str" cm="1">
        <f t="array" ref="N710">_xlfn.IFS(I710="rob","Robusta",I710="exc","Excesla",I710="ara","Arabica",I710="lib","Liberica")</f>
        <v>Arabica</v>
      </c>
      <c r="O710" t="str" cm="1">
        <f t="array" ref="O710">_xlfn.IFS(J710="m","Medium",J710="l","Light",J710="d","Dark")</f>
        <v>Medium</v>
      </c>
      <c r="P710" t="str">
        <f>_xlfn.XLOOKUP(orders[[#This Row],[Customer ID]],customers!$A$2:$A$1001,customers!$I$2:$I$1001,,0)</f>
        <v>Yes</v>
      </c>
    </row>
    <row r="711" spans="1:16" x14ac:dyDescent="0.3">
      <c r="A711" s="2" t="s">
        <v>4494</v>
      </c>
      <c r="B711" s="6">
        <v>43485</v>
      </c>
      <c r="C711" s="2" t="s">
        <v>4495</v>
      </c>
      <c r="D711" t="s">
        <v>6176</v>
      </c>
      <c r="E711" s="2">
        <v>2</v>
      </c>
      <c r="F711" s="2" t="str">
        <f>_xlfn.XLOOKUP(C711,customers!$A$1:$A$1001,customers!$B$1:$B$1001,,0,1)</f>
        <v>Lyell Murch</v>
      </c>
      <c r="G711" s="2" t="str">
        <f>IF((_xlfn.XLOOKUP(C711,customers!$A$2:$A$1001,customers!$C$2:$C$1001,,,)=0),"",(_xlfn.XLOOKUP(C711,customers!$A$2:$A$1001,customers!$C$2:$C$1001,,0,)))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11"/>
        <v>17.82</v>
      </c>
      <c r="N711" t="str" cm="1">
        <f t="array" ref="N711">_xlfn.IFS(I711="rob","Robusta",I711="exc","Excesla",I711="ara","Arabica",I711="lib","Liberica")</f>
        <v>Excesla</v>
      </c>
      <c r="O711" t="str" cm="1">
        <f t="array" ref="O711">_xlfn.IFS(J711="m","Medium",J711="l","Light",J711="d","Dark")</f>
        <v>Light</v>
      </c>
      <c r="P711" t="str">
        <f>_xlfn.XLOOKUP(orders[[#This Row],[Customer ID]],customers!$A$2:$A$1001,customers!$I$2:$I$1001,,0)</f>
        <v>Yes</v>
      </c>
    </row>
    <row r="712" spans="1:16" x14ac:dyDescent="0.3">
      <c r="A712" s="2" t="s">
        <v>4499</v>
      </c>
      <c r="B712" s="6">
        <v>44655</v>
      </c>
      <c r="C712" s="2" t="s">
        <v>4500</v>
      </c>
      <c r="D712" t="s">
        <v>6139</v>
      </c>
      <c r="E712" s="2">
        <v>3</v>
      </c>
      <c r="F712" s="2" t="str">
        <f>_xlfn.XLOOKUP(C712,customers!$A$1:$A$1001,customers!$B$1:$B$1001,,0,1)</f>
        <v>Stearne Count</v>
      </c>
      <c r="G712" s="2" t="str">
        <f>IF((_xlfn.XLOOKUP(C712,customers!$A$2:$A$1001,customers!$C$2:$C$1001,,,)=0),"",(_xlfn.XLOOKUP(C712,customers!$A$2:$A$1001,customers!$C$2:$C$1001,,0,)))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11"/>
        <v>24.75</v>
      </c>
      <c r="N712" t="str" cm="1">
        <f t="array" ref="N712">_xlfn.IFS(I712="rob","Robusta",I712="exc","Excesla",I712="ara","Arabica",I712="lib","Liberica")</f>
        <v>Excesla</v>
      </c>
      <c r="O712" t="str" cm="1">
        <f t="array" ref="O712">_xlfn.IFS(J712="m","Medium",J712="l","Light",J712="d","Dark")</f>
        <v>Medium</v>
      </c>
      <c r="P712" t="str">
        <f>_xlfn.XLOOKUP(orders[[#This Row],[Customer ID]],customers!$A$2:$A$1001,customers!$I$2:$I$1001,,0)</f>
        <v>No</v>
      </c>
    </row>
    <row r="713" spans="1:16" x14ac:dyDescent="0.3">
      <c r="A713" s="2" t="s">
        <v>4505</v>
      </c>
      <c r="B713" s="6">
        <v>44600</v>
      </c>
      <c r="C713" s="2" t="s">
        <v>4506</v>
      </c>
      <c r="D713" t="s">
        <v>6174</v>
      </c>
      <c r="E713" s="2">
        <v>6</v>
      </c>
      <c r="F713" s="2" t="str">
        <f>_xlfn.XLOOKUP(C713,customers!$A$1:$A$1001,customers!$B$1:$B$1001,,0,1)</f>
        <v>Selia Ragles</v>
      </c>
      <c r="G713" s="2" t="str">
        <f>IF((_xlfn.XLOOKUP(C713,customers!$A$2:$A$1001,customers!$C$2:$C$1001,,,)=0),"",(_xlfn.XLOOKUP(C713,customers!$A$2:$A$1001,customers!$C$2:$C$1001,,0,)))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11"/>
        <v>17.91</v>
      </c>
      <c r="N713" t="str" cm="1">
        <f t="array" ref="N713">_xlfn.IFS(I713="rob","Robusta",I713="exc","Excesla",I713="ara","Arabica",I713="lib","Liberica")</f>
        <v>Robusta</v>
      </c>
      <c r="O713" t="str" cm="1">
        <f t="array" ref="O713">_xlfn.IFS(J713="m","Medium",J713="l","Light",J713="d","Dark")</f>
        <v>Medium</v>
      </c>
      <c r="P713" t="str">
        <f>_xlfn.XLOOKUP(orders[[#This Row],[Customer ID]],customers!$A$2:$A$1001,customers!$I$2:$I$1001,,0)</f>
        <v>No</v>
      </c>
    </row>
    <row r="714" spans="1:16" x14ac:dyDescent="0.3">
      <c r="A714" s="2" t="s">
        <v>4512</v>
      </c>
      <c r="B714" s="6">
        <v>43646</v>
      </c>
      <c r="C714" s="2" t="s">
        <v>4513</v>
      </c>
      <c r="D714" t="s">
        <v>6139</v>
      </c>
      <c r="E714" s="2">
        <v>2</v>
      </c>
      <c r="F714" s="2" t="str">
        <f>_xlfn.XLOOKUP(C714,customers!$A$1:$A$1001,customers!$B$1:$B$1001,,0,1)</f>
        <v>Silas Deehan</v>
      </c>
      <c r="G714" s="2" t="str">
        <f>IF((_xlfn.XLOOKUP(C714,customers!$A$2:$A$1001,customers!$C$2:$C$1001,,,)=0),"",(_xlfn.XLOOKUP(C714,customers!$A$2:$A$1001,customers!$C$2:$C$1001,,0,)))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11"/>
        <v>16.5</v>
      </c>
      <c r="N714" t="str" cm="1">
        <f t="array" ref="N714">_xlfn.IFS(I714="rob","Robusta",I714="exc","Excesla",I714="ara","Arabica",I714="lib","Liberica")</f>
        <v>Excesla</v>
      </c>
      <c r="O714" t="str" cm="1">
        <f t="array" ref="O714">_xlfn.IFS(J714="m","Medium",J714="l","Light",J714="d","Dark")</f>
        <v>Medium</v>
      </c>
      <c r="P714" t="str">
        <f>_xlfn.XLOOKUP(orders[[#This Row],[Customer ID]],customers!$A$2:$A$1001,customers!$I$2:$I$1001,,0)</f>
        <v>No</v>
      </c>
    </row>
    <row r="715" spans="1:16" x14ac:dyDescent="0.3">
      <c r="A715" s="2" t="s">
        <v>4516</v>
      </c>
      <c r="B715" s="6">
        <v>43960</v>
      </c>
      <c r="C715" s="2" t="s">
        <v>4517</v>
      </c>
      <c r="D715" t="s">
        <v>6174</v>
      </c>
      <c r="E715" s="2">
        <v>1</v>
      </c>
      <c r="F715" s="2" t="str">
        <f>_xlfn.XLOOKUP(C715,customers!$A$1:$A$1001,customers!$B$1:$B$1001,,0,1)</f>
        <v>Sacha Bruun</v>
      </c>
      <c r="G715" s="2" t="str">
        <f>IF((_xlfn.XLOOKUP(C715,customers!$A$2:$A$1001,customers!$C$2:$C$1001,,,)=0),"",(_xlfn.XLOOKUP(C715,customers!$A$2:$A$1001,customers!$C$2:$C$1001,,0,)))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11"/>
        <v>2.9849999999999999</v>
      </c>
      <c r="N715" t="str" cm="1">
        <f t="array" ref="N715">_xlfn.IFS(I715="rob","Robusta",I715="exc","Excesla",I715="ara","Arabica",I715="lib","Liberica")</f>
        <v>Robusta</v>
      </c>
      <c r="O715" t="str" cm="1">
        <f t="array" ref="O715">_xlfn.IFS(J715="m","Medium",J715="l","Light",J715="d","Dark")</f>
        <v>Medium</v>
      </c>
      <c r="P715" t="str">
        <f>_xlfn.XLOOKUP(orders[[#This Row],[Customer ID]],customers!$A$2:$A$1001,customers!$I$2:$I$1001,,0)</f>
        <v>No</v>
      </c>
    </row>
    <row r="716" spans="1:16" x14ac:dyDescent="0.3">
      <c r="A716" s="2" t="s">
        <v>4522</v>
      </c>
      <c r="B716" s="6">
        <v>44358</v>
      </c>
      <c r="C716" s="2" t="s">
        <v>4523</v>
      </c>
      <c r="D716" t="s">
        <v>6153</v>
      </c>
      <c r="E716" s="2">
        <v>4</v>
      </c>
      <c r="F716" s="2" t="str">
        <f>_xlfn.XLOOKUP(C716,customers!$A$1:$A$1001,customers!$B$1:$B$1001,,0,1)</f>
        <v>Alon Pllu</v>
      </c>
      <c r="G716" s="2" t="str">
        <f>IF((_xlfn.XLOOKUP(C716,customers!$A$2:$A$1001,customers!$C$2:$C$1001,,,)=0),"",(_xlfn.XLOOKUP(C716,customers!$A$2:$A$1001,customers!$C$2:$C$1001,,0,)))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11"/>
        <v>14.58</v>
      </c>
      <c r="N716" t="str" cm="1">
        <f t="array" ref="N716">_xlfn.IFS(I716="rob","Robusta",I716="exc","Excesla",I716="ara","Arabica",I716="lib","Liberica")</f>
        <v>Excesla</v>
      </c>
      <c r="O716" t="str" cm="1">
        <f t="array" ref="O716">_xlfn.IFS(J716="m","Medium",J716="l","Light",J716="d","Dark")</f>
        <v>Dark</v>
      </c>
      <c r="P716" t="str">
        <f>_xlfn.XLOOKUP(orders[[#This Row],[Customer ID]],customers!$A$2:$A$1001,customers!$I$2:$I$1001,,0)</f>
        <v>Yes</v>
      </c>
    </row>
    <row r="717" spans="1:16" x14ac:dyDescent="0.3">
      <c r="A717" s="2" t="s">
        <v>4528</v>
      </c>
      <c r="B717" s="6">
        <v>44504</v>
      </c>
      <c r="C717" s="2" t="s">
        <v>4529</v>
      </c>
      <c r="D717" t="s">
        <v>6171</v>
      </c>
      <c r="E717" s="2">
        <v>6</v>
      </c>
      <c r="F717" s="2" t="str">
        <f>_xlfn.XLOOKUP(C717,customers!$A$1:$A$1001,customers!$B$1:$B$1001,,0,1)</f>
        <v>Gilberto Cornier</v>
      </c>
      <c r="G717" s="2" t="str">
        <f>IF((_xlfn.XLOOKUP(C717,customers!$A$2:$A$1001,customers!$C$2:$C$1001,,,)=0),"",(_xlfn.XLOOKUP(C717,customers!$A$2:$A$1001,customers!$C$2:$C$1001,,0,)))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11"/>
        <v>89.1</v>
      </c>
      <c r="N717" t="str" cm="1">
        <f t="array" ref="N717">_xlfn.IFS(I717="rob","Robusta",I717="exc","Excesla",I717="ara","Arabica",I717="lib","Liberica")</f>
        <v>Excesla</v>
      </c>
      <c r="O717" t="str" cm="1">
        <f t="array" ref="O717">_xlfn.IFS(J717="m","Medium",J717="l","Light",J717="d","Dark")</f>
        <v>Light</v>
      </c>
      <c r="P717" t="str">
        <f>_xlfn.XLOOKUP(orders[[#This Row],[Customer ID]],customers!$A$2:$A$1001,customers!$I$2:$I$1001,,0)</f>
        <v>No</v>
      </c>
    </row>
    <row r="718" spans="1:16" x14ac:dyDescent="0.3">
      <c r="A718" s="2" t="s">
        <v>4533</v>
      </c>
      <c r="B718" s="6">
        <v>44612</v>
      </c>
      <c r="C718" s="2" t="s">
        <v>4434</v>
      </c>
      <c r="D718" t="s">
        <v>6179</v>
      </c>
      <c r="E718" s="2">
        <v>3</v>
      </c>
      <c r="F718" s="2" t="str">
        <f>_xlfn.XLOOKUP(C718,customers!$A$1:$A$1001,customers!$B$1:$B$1001,,0,1)</f>
        <v>Jimmy Dymoke</v>
      </c>
      <c r="G718" s="2" t="str">
        <f>IF((_xlfn.XLOOKUP(C718,customers!$A$2:$A$1001,customers!$C$2:$C$1001,,,)=0),"",(_xlfn.XLOOKUP(C718,customers!$A$2:$A$1001,customers!$C$2:$C$1001,,0,)))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11"/>
        <v>35.849999999999994</v>
      </c>
      <c r="N718" t="str" cm="1">
        <f t="array" ref="N718">_xlfn.IFS(I718="rob","Robusta",I718="exc","Excesla",I718="ara","Arabica",I718="lib","Liberica")</f>
        <v>Robusta</v>
      </c>
      <c r="O718" t="str" cm="1">
        <f t="array" ref="O718">_xlfn.IFS(J718="m","Medium",J718="l","Light",J718="d","Dark")</f>
        <v>Light</v>
      </c>
      <c r="P718" t="str">
        <f>_xlfn.XLOOKUP(orders[[#This Row],[Customer ID]],customers!$A$2:$A$1001,customers!$I$2:$I$1001,,0)</f>
        <v>No</v>
      </c>
    </row>
    <row r="719" spans="1:16" x14ac:dyDescent="0.3">
      <c r="A719" s="2" t="s">
        <v>4539</v>
      </c>
      <c r="B719" s="6">
        <v>43649</v>
      </c>
      <c r="C719" s="2" t="s">
        <v>4540</v>
      </c>
      <c r="D719" t="s">
        <v>6168</v>
      </c>
      <c r="E719" s="2">
        <v>3</v>
      </c>
      <c r="F719" s="2" t="str">
        <f>_xlfn.XLOOKUP(C719,customers!$A$1:$A$1001,customers!$B$1:$B$1001,,0,1)</f>
        <v>Willabella Harvison</v>
      </c>
      <c r="G719" s="2" t="str">
        <f>IF((_xlfn.XLOOKUP(C719,customers!$A$2:$A$1001,customers!$C$2:$C$1001,,,)=0),"",(_xlfn.XLOOKUP(C719,customers!$A$2:$A$1001,customers!$C$2:$C$1001,,0,)))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11"/>
        <v>68.655000000000001</v>
      </c>
      <c r="N719" t="str" cm="1">
        <f t="array" ref="N719">_xlfn.IFS(I719="rob","Robusta",I719="exc","Excesla",I719="ara","Arabica",I719="lib","Liberica")</f>
        <v>Arabica</v>
      </c>
      <c r="O719" t="str" cm="1">
        <f t="array" ref="O719">_xlfn.IFS(J719="m","Medium",J719="l","Light",J719="d","Dark")</f>
        <v>Dark</v>
      </c>
      <c r="P719" t="str">
        <f>_xlfn.XLOOKUP(orders[[#This Row],[Customer ID]],customers!$A$2:$A$1001,customers!$I$2:$I$1001,,0)</f>
        <v>No</v>
      </c>
    </row>
    <row r="720" spans="1:16" x14ac:dyDescent="0.3">
      <c r="A720" s="2" t="s">
        <v>4545</v>
      </c>
      <c r="B720" s="6">
        <v>44348</v>
      </c>
      <c r="C720" s="2" t="s">
        <v>4546</v>
      </c>
      <c r="D720" t="s">
        <v>6143</v>
      </c>
      <c r="E720" s="2">
        <v>3</v>
      </c>
      <c r="F720" s="2" t="str">
        <f>_xlfn.XLOOKUP(C720,customers!$A$1:$A$1001,customers!$B$1:$B$1001,,0,1)</f>
        <v>Darice Heaford</v>
      </c>
      <c r="G720" s="2" t="str">
        <f>IF((_xlfn.XLOOKUP(C720,customers!$A$2:$A$1001,customers!$C$2:$C$1001,,,)=0),"",(_xlfn.XLOOKUP(C720,customers!$A$2:$A$1001,customers!$C$2:$C$1001,,0,)))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11"/>
        <v>38.849999999999994</v>
      </c>
      <c r="N720" t="str" cm="1">
        <f t="array" ref="N720">_xlfn.IFS(I720="rob","Robusta",I720="exc","Excesla",I720="ara","Arabica",I720="lib","Liberica")</f>
        <v>Liberica</v>
      </c>
      <c r="O720" t="str" cm="1">
        <f t="array" ref="O720">_xlfn.IFS(J720="m","Medium",J720="l","Light",J720="d","Dark")</f>
        <v>Dark</v>
      </c>
      <c r="P720" t="str">
        <f>_xlfn.XLOOKUP(orders[[#This Row],[Customer ID]],customers!$A$2:$A$1001,customers!$I$2:$I$1001,,0)</f>
        <v>No</v>
      </c>
    </row>
    <row r="721" spans="1:16" x14ac:dyDescent="0.3">
      <c r="A721" s="2" t="s">
        <v>4551</v>
      </c>
      <c r="B721" s="6">
        <v>44150</v>
      </c>
      <c r="C721" s="2" t="s">
        <v>4552</v>
      </c>
      <c r="D721" t="s">
        <v>6170</v>
      </c>
      <c r="E721" s="2">
        <v>5</v>
      </c>
      <c r="F721" s="2" t="str">
        <f>_xlfn.XLOOKUP(C721,customers!$A$1:$A$1001,customers!$B$1:$B$1001,,0,1)</f>
        <v>Granger Fantham</v>
      </c>
      <c r="G721" s="2" t="str">
        <f>IF((_xlfn.XLOOKUP(C721,customers!$A$2:$A$1001,customers!$C$2:$C$1001,,,)=0),"",(_xlfn.XLOOKUP(C721,customers!$A$2:$A$1001,customers!$C$2:$C$1001,,0,)))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11"/>
        <v>79.25</v>
      </c>
      <c r="N721" t="str" cm="1">
        <f t="array" ref="N721">_xlfn.IFS(I721="rob","Robusta",I721="exc","Excesla",I721="ara","Arabica",I721="lib","Liberica")</f>
        <v>Liberica</v>
      </c>
      <c r="O721" t="str" cm="1">
        <f t="array" ref="O721">_xlfn.IFS(J721="m","Medium",J721="l","Light",J721="d","Dark")</f>
        <v>Light</v>
      </c>
      <c r="P721" t="str">
        <f>_xlfn.XLOOKUP(orders[[#This Row],[Customer ID]],customers!$A$2:$A$1001,customers!$I$2:$I$1001,,0)</f>
        <v>Yes</v>
      </c>
    </row>
    <row r="722" spans="1:16" x14ac:dyDescent="0.3">
      <c r="A722" s="2" t="s">
        <v>4557</v>
      </c>
      <c r="B722" s="6">
        <v>44215</v>
      </c>
      <c r="C722" s="2" t="s">
        <v>4558</v>
      </c>
      <c r="D722" t="s">
        <v>6144</v>
      </c>
      <c r="E722" s="2">
        <v>5</v>
      </c>
      <c r="F722" s="2" t="str">
        <f>_xlfn.XLOOKUP(C722,customers!$A$1:$A$1001,customers!$B$1:$B$1001,,0,1)</f>
        <v>Reynolds Crookshanks</v>
      </c>
      <c r="G722" s="2" t="str">
        <f>IF((_xlfn.XLOOKUP(C722,customers!$A$2:$A$1001,customers!$C$2:$C$1001,,,)=0),"",(_xlfn.XLOOKUP(C722,customers!$A$2:$A$1001,customers!$C$2:$C$1001,,0,)))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11"/>
        <v>36.450000000000003</v>
      </c>
      <c r="N722" t="str" cm="1">
        <f t="array" ref="N722">_xlfn.IFS(I722="rob","Robusta",I722="exc","Excesla",I722="ara","Arabica",I722="lib","Liberica")</f>
        <v>Excesla</v>
      </c>
      <c r="O722" t="str" cm="1">
        <f t="array" ref="O722">_xlfn.IFS(J722="m","Medium",J722="l","Light",J722="d","Dark")</f>
        <v>Dark</v>
      </c>
      <c r="P722" t="str">
        <f>_xlfn.XLOOKUP(orders[[#This Row],[Customer ID]],customers!$A$2:$A$1001,customers!$I$2:$I$1001,,0)</f>
        <v>Yes</v>
      </c>
    </row>
    <row r="723" spans="1:16" x14ac:dyDescent="0.3">
      <c r="A723" s="2" t="s">
        <v>4563</v>
      </c>
      <c r="B723" s="6">
        <v>44479</v>
      </c>
      <c r="C723" s="2" t="s">
        <v>4564</v>
      </c>
      <c r="D723" t="s">
        <v>6174</v>
      </c>
      <c r="E723" s="2">
        <v>3</v>
      </c>
      <c r="F723" s="2" t="str">
        <f>_xlfn.XLOOKUP(C723,customers!$A$1:$A$1001,customers!$B$1:$B$1001,,0,1)</f>
        <v>Niels Leake</v>
      </c>
      <c r="G723" s="2" t="str">
        <f>IF((_xlfn.XLOOKUP(C723,customers!$A$2:$A$1001,customers!$C$2:$C$1001,,,)=0),"",(_xlfn.XLOOKUP(C723,customers!$A$2:$A$1001,customers!$C$2:$C$1001,,0,)))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11"/>
        <v>8.9550000000000001</v>
      </c>
      <c r="N723" t="str" cm="1">
        <f t="array" ref="N723">_xlfn.IFS(I723="rob","Robusta",I723="exc","Excesla",I723="ara","Arabica",I723="lib","Liberica")</f>
        <v>Robusta</v>
      </c>
      <c r="O723" t="str" cm="1">
        <f t="array" ref="O723">_xlfn.IFS(J723="m","Medium",J723="l","Light",J723="d","Dark")</f>
        <v>Medium</v>
      </c>
      <c r="P723" t="str">
        <f>_xlfn.XLOOKUP(orders[[#This Row],[Customer ID]],customers!$A$2:$A$1001,customers!$I$2:$I$1001,,0)</f>
        <v>Yes</v>
      </c>
    </row>
    <row r="724" spans="1:16" x14ac:dyDescent="0.3">
      <c r="A724" s="2" t="s">
        <v>4569</v>
      </c>
      <c r="B724" s="6">
        <v>44620</v>
      </c>
      <c r="C724" s="2" t="s">
        <v>4570</v>
      </c>
      <c r="D724" t="s">
        <v>6183</v>
      </c>
      <c r="E724" s="2">
        <v>2</v>
      </c>
      <c r="F724" s="2" t="str">
        <f>_xlfn.XLOOKUP(C724,customers!$A$1:$A$1001,customers!$B$1:$B$1001,,0,1)</f>
        <v>Hetti Measures</v>
      </c>
      <c r="G724" s="2" t="str">
        <f>IF((_xlfn.XLOOKUP(C724,customers!$A$2:$A$1001,customers!$C$2:$C$1001,,,)=0),"",(_xlfn.XLOOKUP(C724,customers!$A$2:$A$1001,customers!$C$2:$C$1001,,0,)))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11"/>
        <v>24.3</v>
      </c>
      <c r="N724" t="str" cm="1">
        <f t="array" ref="N724">_xlfn.IFS(I724="rob","Robusta",I724="exc","Excesla",I724="ara","Arabica",I724="lib","Liberica")</f>
        <v>Excesla</v>
      </c>
      <c r="O724" t="str" cm="1">
        <f t="array" ref="O724">_xlfn.IFS(J724="m","Medium",J724="l","Light",J724="d","Dark")</f>
        <v>Dark</v>
      </c>
      <c r="P724" t="str">
        <f>_xlfn.XLOOKUP(orders[[#This Row],[Customer ID]],customers!$A$2:$A$1001,customers!$I$2:$I$1001,,0)</f>
        <v>No</v>
      </c>
    </row>
    <row r="725" spans="1:16" x14ac:dyDescent="0.3">
      <c r="A725" s="2" t="s">
        <v>4574</v>
      </c>
      <c r="B725" s="6">
        <v>44470</v>
      </c>
      <c r="C725" s="2" t="s">
        <v>4575</v>
      </c>
      <c r="D725" t="s">
        <v>6166</v>
      </c>
      <c r="E725" s="2">
        <v>2</v>
      </c>
      <c r="F725" s="2" t="str">
        <f>_xlfn.XLOOKUP(C725,customers!$A$1:$A$1001,customers!$B$1:$B$1001,,0,1)</f>
        <v>Gay Eilhersen</v>
      </c>
      <c r="G725" s="2" t="str">
        <f>IF((_xlfn.XLOOKUP(C725,customers!$A$2:$A$1001,customers!$C$2:$C$1001,,,)=0),"",(_xlfn.XLOOKUP(C725,customers!$A$2:$A$1001,customers!$C$2:$C$1001,,0,)))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11"/>
        <v>63.249999999999993</v>
      </c>
      <c r="N725" t="str" cm="1">
        <f t="array" ref="N725">_xlfn.IFS(I725="rob","Robusta",I725="exc","Excesla",I725="ara","Arabica",I725="lib","Liberica")</f>
        <v>Excesla</v>
      </c>
      <c r="O725" t="str" cm="1">
        <f t="array" ref="O725">_xlfn.IFS(J725="m","Medium",J725="l","Light",J725="d","Dark")</f>
        <v>Medium</v>
      </c>
      <c r="P725" t="str">
        <f>_xlfn.XLOOKUP(orders[[#This Row],[Customer ID]],customers!$A$2:$A$1001,customers!$I$2:$I$1001,,0)</f>
        <v>No</v>
      </c>
    </row>
    <row r="726" spans="1:16" x14ac:dyDescent="0.3">
      <c r="A726" s="2" t="s">
        <v>4580</v>
      </c>
      <c r="B726" s="6">
        <v>44076</v>
      </c>
      <c r="C726" s="2" t="s">
        <v>4581</v>
      </c>
      <c r="D726" t="s">
        <v>6152</v>
      </c>
      <c r="E726" s="2">
        <v>2</v>
      </c>
      <c r="F726" s="2" t="str">
        <f>_xlfn.XLOOKUP(C726,customers!$A$1:$A$1001,customers!$B$1:$B$1001,,0,1)</f>
        <v>Nico Hubert</v>
      </c>
      <c r="G726" s="2" t="str">
        <f>IF((_xlfn.XLOOKUP(C726,customers!$A$2:$A$1001,customers!$C$2:$C$1001,,,)=0),"",(_xlfn.XLOOKUP(C726,customers!$A$2:$A$1001,customers!$C$2:$C$1001,,0,)))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11"/>
        <v>6.75</v>
      </c>
      <c r="N726" t="str" cm="1">
        <f t="array" ref="N726">_xlfn.IFS(I726="rob","Robusta",I726="exc","Excesla",I726="ara","Arabica",I726="lib","Liberica")</f>
        <v>Arabica</v>
      </c>
      <c r="O726" t="str" cm="1">
        <f t="array" ref="O726">_xlfn.IFS(J726="m","Medium",J726="l","Light",J726="d","Dark")</f>
        <v>Medium</v>
      </c>
      <c r="P726" t="str">
        <f>_xlfn.XLOOKUP(orders[[#This Row],[Customer ID]],customers!$A$2:$A$1001,customers!$I$2:$I$1001,,0)</f>
        <v>Yes</v>
      </c>
    </row>
    <row r="727" spans="1:16" x14ac:dyDescent="0.3">
      <c r="A727" s="2" t="s">
        <v>4585</v>
      </c>
      <c r="B727" s="6">
        <v>44043</v>
      </c>
      <c r="C727" s="2" t="s">
        <v>4586</v>
      </c>
      <c r="D727" t="s">
        <v>6167</v>
      </c>
      <c r="E727" s="2">
        <v>6</v>
      </c>
      <c r="F727" s="2" t="str">
        <f>_xlfn.XLOOKUP(C727,customers!$A$1:$A$1001,customers!$B$1:$B$1001,,0,1)</f>
        <v>Cristina Aleixo</v>
      </c>
      <c r="G727" s="2" t="str">
        <f>IF((_xlfn.XLOOKUP(C727,customers!$A$2:$A$1001,customers!$C$2:$C$1001,,,)=0),"",(_xlfn.XLOOKUP(C727,customers!$A$2:$A$1001,customers!$C$2:$C$1001,,0,)))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11"/>
        <v>23.31</v>
      </c>
      <c r="N727" t="str" cm="1">
        <f t="array" ref="N727">_xlfn.IFS(I727="rob","Robusta",I727="exc","Excesla",I727="ara","Arabica",I727="lib","Liberica")</f>
        <v>Arabica</v>
      </c>
      <c r="O727" t="str" cm="1">
        <f t="array" ref="O727">_xlfn.IFS(J727="m","Medium",J727="l","Light",J727="d","Dark")</f>
        <v>Light</v>
      </c>
      <c r="P727" t="str">
        <f>_xlfn.XLOOKUP(orders[[#This Row],[Customer ID]],customers!$A$2:$A$1001,customers!$I$2:$I$1001,,0)</f>
        <v>No</v>
      </c>
    </row>
    <row r="728" spans="1:16" x14ac:dyDescent="0.3">
      <c r="A728" s="2" t="s">
        <v>4591</v>
      </c>
      <c r="B728" s="6">
        <v>44571</v>
      </c>
      <c r="C728" s="2" t="s">
        <v>4592</v>
      </c>
      <c r="D728" t="s">
        <v>6164</v>
      </c>
      <c r="E728" s="2">
        <v>4</v>
      </c>
      <c r="F728" s="2" t="str">
        <f>_xlfn.XLOOKUP(C728,customers!$A$1:$A$1001,customers!$B$1:$B$1001,,0,1)</f>
        <v>Derrek Allpress</v>
      </c>
      <c r="G728" s="2" t="str">
        <f>IF((_xlfn.XLOOKUP(C728,customers!$A$2:$A$1001,customers!$C$2:$C$1001,,,)=0),"",(_xlfn.XLOOKUP(C728,customers!$A$2:$A$1001,customers!$C$2:$C$1001,,0,)))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11"/>
        <v>145.82</v>
      </c>
      <c r="N728" t="str" cm="1">
        <f t="array" ref="N728">_xlfn.IFS(I728="rob","Robusta",I728="exc","Excesla",I728="ara","Arabica",I728="lib","Liberica")</f>
        <v>Liberica</v>
      </c>
      <c r="O728" t="str" cm="1">
        <f t="array" ref="O728">_xlfn.IFS(J728="m","Medium",J728="l","Light",J728="d","Dark")</f>
        <v>Light</v>
      </c>
      <c r="P728" t="str">
        <f>_xlfn.XLOOKUP(orders[[#This Row],[Customer ID]],customers!$A$2:$A$1001,customers!$I$2:$I$1001,,0)</f>
        <v>No</v>
      </c>
    </row>
    <row r="729" spans="1:16" x14ac:dyDescent="0.3">
      <c r="A729" s="2" t="s">
        <v>4596</v>
      </c>
      <c r="B729" s="6">
        <v>44264</v>
      </c>
      <c r="C729" s="2" t="s">
        <v>4597</v>
      </c>
      <c r="D729" t="s">
        <v>6146</v>
      </c>
      <c r="E729" s="2">
        <v>5</v>
      </c>
      <c r="F729" s="2" t="str">
        <f>_xlfn.XLOOKUP(C729,customers!$A$1:$A$1001,customers!$B$1:$B$1001,,0,1)</f>
        <v>Rikki Tomkowicz</v>
      </c>
      <c r="G729" s="2" t="str">
        <f>IF((_xlfn.XLOOKUP(C729,customers!$A$2:$A$1001,customers!$C$2:$C$1001,,,)=0),"",(_xlfn.XLOOKUP(C729,customers!$A$2:$A$1001,customers!$C$2:$C$1001,,0,)))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11"/>
        <v>29.849999999999998</v>
      </c>
      <c r="N729" t="str" cm="1">
        <f t="array" ref="N729">_xlfn.IFS(I729="rob","Robusta",I729="exc","Excesla",I729="ara","Arabica",I729="lib","Liberica")</f>
        <v>Robusta</v>
      </c>
      <c r="O729" t="str" cm="1">
        <f t="array" ref="O729">_xlfn.IFS(J729="m","Medium",J729="l","Light",J729="d","Dark")</f>
        <v>Medium</v>
      </c>
      <c r="P729" t="str">
        <f>_xlfn.XLOOKUP(orders[[#This Row],[Customer ID]],customers!$A$2:$A$1001,customers!$I$2:$I$1001,,0)</f>
        <v>Yes</v>
      </c>
    </row>
    <row r="730" spans="1:16" x14ac:dyDescent="0.3">
      <c r="A730" s="2" t="s">
        <v>4602</v>
      </c>
      <c r="B730" s="6">
        <v>44155</v>
      </c>
      <c r="C730" s="2" t="s">
        <v>4603</v>
      </c>
      <c r="D730" t="s">
        <v>6144</v>
      </c>
      <c r="E730" s="2">
        <v>3</v>
      </c>
      <c r="F730" s="2" t="str">
        <f>_xlfn.XLOOKUP(C730,customers!$A$1:$A$1001,customers!$B$1:$B$1001,,0,1)</f>
        <v>Rochette Huscroft</v>
      </c>
      <c r="G730" s="2" t="str">
        <f>IF((_xlfn.XLOOKUP(C730,customers!$A$2:$A$1001,customers!$C$2:$C$1001,,,)=0),"",(_xlfn.XLOOKUP(C730,customers!$A$2:$A$1001,customers!$C$2:$C$1001,,0,)))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11"/>
        <v>21.87</v>
      </c>
      <c r="N730" t="str" cm="1">
        <f t="array" ref="N730">_xlfn.IFS(I730="rob","Robusta",I730="exc","Excesla",I730="ara","Arabica",I730="lib","Liberica")</f>
        <v>Excesla</v>
      </c>
      <c r="O730" t="str" cm="1">
        <f t="array" ref="O730">_xlfn.IFS(J730="m","Medium",J730="l","Light",J730="d","Dark")</f>
        <v>Dark</v>
      </c>
      <c r="P730" t="str">
        <f>_xlfn.XLOOKUP(orders[[#This Row],[Customer ID]],customers!$A$2:$A$1001,customers!$I$2:$I$1001,,0)</f>
        <v>Yes</v>
      </c>
    </row>
    <row r="731" spans="1:16" x14ac:dyDescent="0.3">
      <c r="A731" s="2" t="s">
        <v>4608</v>
      </c>
      <c r="B731" s="6">
        <v>44634</v>
      </c>
      <c r="C731" s="2" t="s">
        <v>4609</v>
      </c>
      <c r="D731" t="s">
        <v>6159</v>
      </c>
      <c r="E731" s="2">
        <v>1</v>
      </c>
      <c r="F731" s="2" t="str">
        <f>_xlfn.XLOOKUP(C731,customers!$A$1:$A$1001,customers!$B$1:$B$1001,,0,1)</f>
        <v>Selle Scurrer</v>
      </c>
      <c r="G731" s="2" t="str">
        <f>IF((_xlfn.XLOOKUP(C731,customers!$A$2:$A$1001,customers!$C$2:$C$1001,,,)=0),"",(_xlfn.XLOOKUP(C731,customers!$A$2:$A$1001,customers!$C$2:$C$1001,,0,)))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11"/>
        <v>4.3650000000000002</v>
      </c>
      <c r="N731" t="str" cm="1">
        <f t="array" ref="N731">_xlfn.IFS(I731="rob","Robusta",I731="exc","Excesla",I731="ara","Arabica",I731="lib","Liberica")</f>
        <v>Liberica</v>
      </c>
      <c r="O731" t="str" cm="1">
        <f t="array" ref="O731">_xlfn.IFS(J731="m","Medium",J731="l","Light",J731="d","Dark")</f>
        <v>Medium</v>
      </c>
      <c r="P731" t="str">
        <f>_xlfn.XLOOKUP(orders[[#This Row],[Customer ID]],customers!$A$2:$A$1001,customers!$I$2:$I$1001,,0)</f>
        <v>No</v>
      </c>
    </row>
    <row r="732" spans="1:16" x14ac:dyDescent="0.3">
      <c r="A732" s="2" t="s">
        <v>4614</v>
      </c>
      <c r="B732" s="6">
        <v>43475</v>
      </c>
      <c r="C732" s="2" t="s">
        <v>4615</v>
      </c>
      <c r="D732" t="s">
        <v>6164</v>
      </c>
      <c r="E732" s="2">
        <v>1</v>
      </c>
      <c r="F732" s="2" t="str">
        <f>_xlfn.XLOOKUP(C732,customers!$A$1:$A$1001,customers!$B$1:$B$1001,,0,1)</f>
        <v>Andie Rudram</v>
      </c>
      <c r="G732" s="2" t="str">
        <f>IF((_xlfn.XLOOKUP(C732,customers!$A$2:$A$1001,customers!$C$2:$C$1001,,,)=0),"",(_xlfn.XLOOKUP(C732,customers!$A$2:$A$1001,customers!$C$2:$C$1001,,0,)))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11"/>
        <v>36.454999999999998</v>
      </c>
      <c r="N732" t="str" cm="1">
        <f t="array" ref="N732">_xlfn.IFS(I732="rob","Robusta",I732="exc","Excesla",I732="ara","Arabica",I732="lib","Liberica")</f>
        <v>Liberica</v>
      </c>
      <c r="O732" t="str" cm="1">
        <f t="array" ref="O732">_xlfn.IFS(J732="m","Medium",J732="l","Light",J732="d","Dark")</f>
        <v>Light</v>
      </c>
      <c r="P732" t="str">
        <f>_xlfn.XLOOKUP(orders[[#This Row],[Customer ID]],customers!$A$2:$A$1001,customers!$I$2:$I$1001,,0)</f>
        <v>No</v>
      </c>
    </row>
    <row r="733" spans="1:16" x14ac:dyDescent="0.3">
      <c r="A733" s="2" t="s">
        <v>4620</v>
      </c>
      <c r="B733" s="6">
        <v>44222</v>
      </c>
      <c r="C733" s="2" t="s">
        <v>4621</v>
      </c>
      <c r="D733" t="s">
        <v>6150</v>
      </c>
      <c r="E733" s="2">
        <v>4</v>
      </c>
      <c r="F733" s="2" t="str">
        <f>_xlfn.XLOOKUP(C733,customers!$A$1:$A$1001,customers!$B$1:$B$1001,,0,1)</f>
        <v>Leta Clarricoates</v>
      </c>
      <c r="G733" s="2" t="str">
        <f>IF((_xlfn.XLOOKUP(C733,customers!$A$2:$A$1001,customers!$C$2:$C$1001,,,)=0),"",(_xlfn.XLOOKUP(C733,customers!$A$2:$A$1001,customers!$C$2:$C$1001,,0,)))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11"/>
        <v>15.54</v>
      </c>
      <c r="N733" t="str" cm="1">
        <f t="array" ref="N733">_xlfn.IFS(I733="rob","Robusta",I733="exc","Excesla",I733="ara","Arabica",I733="lib","Liberica")</f>
        <v>Liberica</v>
      </c>
      <c r="O733" t="str" cm="1">
        <f t="array" ref="O733">_xlfn.IFS(J733="m","Medium",J733="l","Light",J733="d","Dark")</f>
        <v>Dark</v>
      </c>
      <c r="P733" t="str">
        <f>_xlfn.XLOOKUP(orders[[#This Row],[Customer ID]],customers!$A$2:$A$1001,customers!$I$2:$I$1001,,0)</f>
        <v>Yes</v>
      </c>
    </row>
    <row r="734" spans="1:16" x14ac:dyDescent="0.3">
      <c r="A734" s="2" t="s">
        <v>4625</v>
      </c>
      <c r="B734" s="6">
        <v>44312</v>
      </c>
      <c r="C734" s="2" t="s">
        <v>4626</v>
      </c>
      <c r="D734" t="s">
        <v>6184</v>
      </c>
      <c r="E734" s="2">
        <v>2</v>
      </c>
      <c r="F734" s="2" t="str">
        <f>_xlfn.XLOOKUP(C734,customers!$A$1:$A$1001,customers!$B$1:$B$1001,,0,1)</f>
        <v>Jacquelyn Maha</v>
      </c>
      <c r="G734" s="2" t="str">
        <f>IF((_xlfn.XLOOKUP(C734,customers!$A$2:$A$1001,customers!$C$2:$C$1001,,,)=0),"",(_xlfn.XLOOKUP(C734,customers!$A$2:$A$1001,customers!$C$2:$C$1001,,0,)))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11"/>
        <v>8.91</v>
      </c>
      <c r="N734" t="str" cm="1">
        <f t="array" ref="N734">_xlfn.IFS(I734="rob","Robusta",I734="exc","Excesla",I734="ara","Arabica",I734="lib","Liberica")</f>
        <v>Excesla</v>
      </c>
      <c r="O734" t="str" cm="1">
        <f t="array" ref="O734">_xlfn.IFS(J734="m","Medium",J734="l","Light",J734="d","Dark")</f>
        <v>Light</v>
      </c>
      <c r="P734" t="str">
        <f>_xlfn.XLOOKUP(orders[[#This Row],[Customer ID]],customers!$A$2:$A$1001,customers!$I$2:$I$1001,,0)</f>
        <v>No</v>
      </c>
    </row>
    <row r="735" spans="1:16" x14ac:dyDescent="0.3">
      <c r="A735" s="2" t="s">
        <v>4631</v>
      </c>
      <c r="B735" s="6">
        <v>44565</v>
      </c>
      <c r="C735" s="2" t="s">
        <v>4632</v>
      </c>
      <c r="D735" t="s">
        <v>6181</v>
      </c>
      <c r="E735" s="2">
        <v>3</v>
      </c>
      <c r="F735" s="2" t="str">
        <f>_xlfn.XLOOKUP(C735,customers!$A$1:$A$1001,customers!$B$1:$B$1001,,0,1)</f>
        <v>Glory Clemon</v>
      </c>
      <c r="G735" s="2" t="str">
        <f>IF((_xlfn.XLOOKUP(C735,customers!$A$2:$A$1001,customers!$C$2:$C$1001,,,)=0),"",(_xlfn.XLOOKUP(C735,customers!$A$2:$A$1001,customers!$C$2:$C$1001,,0,)))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11"/>
        <v>100.39499999999998</v>
      </c>
      <c r="N735" t="str" cm="1">
        <f t="array" ref="N735">_xlfn.IFS(I735="rob","Robusta",I735="exc","Excesla",I735="ara","Arabica",I735="lib","Liberica")</f>
        <v>Liberica</v>
      </c>
      <c r="O735" t="str" cm="1">
        <f t="array" ref="O735">_xlfn.IFS(J735="m","Medium",J735="l","Light",J735="d","Dark")</f>
        <v>Medium</v>
      </c>
      <c r="P735" t="str">
        <f>_xlfn.XLOOKUP(orders[[#This Row],[Customer ID]],customers!$A$2:$A$1001,customers!$I$2:$I$1001,,0)</f>
        <v>Yes</v>
      </c>
    </row>
    <row r="736" spans="1:16" x14ac:dyDescent="0.3">
      <c r="A736" s="2" t="s">
        <v>4637</v>
      </c>
      <c r="B736" s="6">
        <v>43697</v>
      </c>
      <c r="C736" s="2" t="s">
        <v>4638</v>
      </c>
      <c r="D736" t="s">
        <v>6163</v>
      </c>
      <c r="E736" s="2">
        <v>5</v>
      </c>
      <c r="F736" s="2" t="str">
        <f>_xlfn.XLOOKUP(C736,customers!$A$1:$A$1001,customers!$B$1:$B$1001,,0,1)</f>
        <v>Alica Kift</v>
      </c>
      <c r="G736" s="2" t="str">
        <f>IF((_xlfn.XLOOKUP(C736,customers!$A$2:$A$1001,customers!$C$2:$C$1001,,,)=0),"",(_xlfn.XLOOKUP(C736,customers!$A$2:$A$1001,customers!$C$2:$C$1001,,0,)))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11"/>
        <v>13.424999999999997</v>
      </c>
      <c r="N736" t="str" cm="1">
        <f t="array" ref="N736">_xlfn.IFS(I736="rob","Robusta",I736="exc","Excesla",I736="ara","Arabica",I736="lib","Liberica")</f>
        <v>Robusta</v>
      </c>
      <c r="O736" t="str" cm="1">
        <f t="array" ref="O736">_xlfn.IFS(J736="m","Medium",J736="l","Light",J736="d","Dark")</f>
        <v>Dark</v>
      </c>
      <c r="P736" t="str">
        <f>_xlfn.XLOOKUP(orders[[#This Row],[Customer ID]],customers!$A$2:$A$1001,customers!$I$2:$I$1001,,0)</f>
        <v>No</v>
      </c>
    </row>
    <row r="737" spans="1:16" x14ac:dyDescent="0.3">
      <c r="A737" s="2" t="s">
        <v>4642</v>
      </c>
      <c r="B737" s="6">
        <v>44757</v>
      </c>
      <c r="C737" s="2" t="s">
        <v>4643</v>
      </c>
      <c r="D737" t="s">
        <v>6153</v>
      </c>
      <c r="E737" s="2">
        <v>6</v>
      </c>
      <c r="F737" s="2" t="str">
        <f>_xlfn.XLOOKUP(C737,customers!$A$1:$A$1001,customers!$B$1:$B$1001,,0,1)</f>
        <v>Babb Pollins</v>
      </c>
      <c r="G737" s="2" t="str">
        <f>IF((_xlfn.XLOOKUP(C737,customers!$A$2:$A$1001,customers!$C$2:$C$1001,,,)=0),"",(_xlfn.XLOOKUP(C737,customers!$A$2:$A$1001,customers!$C$2:$C$1001,,0,)))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11"/>
        <v>21.87</v>
      </c>
      <c r="N737" t="str" cm="1">
        <f t="array" ref="N737">_xlfn.IFS(I737="rob","Robusta",I737="exc","Excesla",I737="ara","Arabica",I737="lib","Liberica")</f>
        <v>Excesla</v>
      </c>
      <c r="O737" t="str" cm="1">
        <f t="array" ref="O737">_xlfn.IFS(J737="m","Medium",J737="l","Light",J737="d","Dark")</f>
        <v>Dark</v>
      </c>
      <c r="P737" t="str">
        <f>_xlfn.XLOOKUP(orders[[#This Row],[Customer ID]],customers!$A$2:$A$1001,customers!$I$2:$I$1001,,0)</f>
        <v>No</v>
      </c>
    </row>
    <row r="738" spans="1:16" x14ac:dyDescent="0.3">
      <c r="A738" s="2" t="s">
        <v>4647</v>
      </c>
      <c r="B738" s="6">
        <v>43508</v>
      </c>
      <c r="C738" s="2" t="s">
        <v>4648</v>
      </c>
      <c r="D738" t="s">
        <v>6143</v>
      </c>
      <c r="E738" s="2">
        <v>2</v>
      </c>
      <c r="F738" s="2" t="str">
        <f>_xlfn.XLOOKUP(C738,customers!$A$1:$A$1001,customers!$B$1:$B$1001,,0,1)</f>
        <v>Jarret Toye</v>
      </c>
      <c r="G738" s="2" t="str">
        <f>IF((_xlfn.XLOOKUP(C738,customers!$A$2:$A$1001,customers!$C$2:$C$1001,,,)=0),"",(_xlfn.XLOOKUP(C738,customers!$A$2:$A$1001,customers!$C$2:$C$1001,,0,)))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11"/>
        <v>25.9</v>
      </c>
      <c r="N738" t="str" cm="1">
        <f t="array" ref="N738">_xlfn.IFS(I738="rob","Robusta",I738="exc","Excesla",I738="ara","Arabica",I738="lib","Liberica")</f>
        <v>Liberica</v>
      </c>
      <c r="O738" t="str" cm="1">
        <f t="array" ref="O738">_xlfn.IFS(J738="m","Medium",J738="l","Light",J738="d","Dark")</f>
        <v>Dark</v>
      </c>
      <c r="P738" t="str">
        <f>_xlfn.XLOOKUP(orders[[#This Row],[Customer ID]],customers!$A$2:$A$1001,customers!$I$2:$I$1001,,0)</f>
        <v>Yes</v>
      </c>
    </row>
    <row r="739" spans="1:16" x14ac:dyDescent="0.3">
      <c r="A739" s="2" t="s">
        <v>4653</v>
      </c>
      <c r="B739" s="6">
        <v>44447</v>
      </c>
      <c r="C739" s="2" t="s">
        <v>4654</v>
      </c>
      <c r="D739" t="s">
        <v>6155</v>
      </c>
      <c r="E739" s="2">
        <v>5</v>
      </c>
      <c r="F739" s="2" t="str">
        <f>_xlfn.XLOOKUP(C739,customers!$A$1:$A$1001,customers!$B$1:$B$1001,,0,1)</f>
        <v>Carlie Linskill</v>
      </c>
      <c r="G739" s="2" t="str">
        <f>IF((_xlfn.XLOOKUP(C739,customers!$A$2:$A$1001,customers!$C$2:$C$1001,,,)=0),"",(_xlfn.XLOOKUP(C739,customers!$A$2:$A$1001,customers!$C$2:$C$1001,,0,)))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11"/>
        <v>56.25</v>
      </c>
      <c r="N739" t="str" cm="1">
        <f t="array" ref="N739">_xlfn.IFS(I739="rob","Robusta",I739="exc","Excesla",I739="ara","Arabica",I739="lib","Liberica")</f>
        <v>Arabica</v>
      </c>
      <c r="O739" t="str" cm="1">
        <f t="array" ref="O739">_xlfn.IFS(J739="m","Medium",J739="l","Light",J739="d","Dark")</f>
        <v>Medium</v>
      </c>
      <c r="P739" t="str">
        <f>_xlfn.XLOOKUP(orders[[#This Row],[Customer ID]],customers!$A$2:$A$1001,customers!$I$2:$I$1001,,0)</f>
        <v>No</v>
      </c>
    </row>
    <row r="740" spans="1:16" x14ac:dyDescent="0.3">
      <c r="A740" s="2" t="s">
        <v>4659</v>
      </c>
      <c r="B740" s="6">
        <v>43812</v>
      </c>
      <c r="C740" s="2" t="s">
        <v>4660</v>
      </c>
      <c r="D740" t="s">
        <v>6178</v>
      </c>
      <c r="E740" s="2">
        <v>3</v>
      </c>
      <c r="F740" s="2" t="str">
        <f>_xlfn.XLOOKUP(C740,customers!$A$1:$A$1001,customers!$B$1:$B$1001,,0,1)</f>
        <v>Natal Vigrass</v>
      </c>
      <c r="G740" s="2" t="str">
        <f>IF((_xlfn.XLOOKUP(C740,customers!$A$2:$A$1001,customers!$C$2:$C$1001,,,)=0),"",(_xlfn.XLOOKUP(C740,customers!$A$2:$A$1001,customers!$C$2:$C$1001,,0,)))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11"/>
        <v>10.754999999999999</v>
      </c>
      <c r="N740" t="str" cm="1">
        <f t="array" ref="N740">_xlfn.IFS(I740="rob","Robusta",I740="exc","Excesla",I740="ara","Arabica",I740="lib","Liberica")</f>
        <v>Robusta</v>
      </c>
      <c r="O740" t="str" cm="1">
        <f t="array" ref="O740">_xlfn.IFS(J740="m","Medium",J740="l","Light",J740="d","Dark")</f>
        <v>Light</v>
      </c>
      <c r="P740" t="str">
        <f>_xlfn.XLOOKUP(orders[[#This Row],[Customer ID]],customers!$A$2:$A$1001,customers!$I$2:$I$1001,,0)</f>
        <v>No</v>
      </c>
    </row>
    <row r="741" spans="1:16" x14ac:dyDescent="0.3">
      <c r="A741" s="2" t="s">
        <v>4665</v>
      </c>
      <c r="B741" s="6">
        <v>44433</v>
      </c>
      <c r="C741" s="2" t="s">
        <v>4434</v>
      </c>
      <c r="D741" t="s">
        <v>6153</v>
      </c>
      <c r="E741" s="2">
        <v>5</v>
      </c>
      <c r="F741" s="2" t="str">
        <f>_xlfn.XLOOKUP(C741,customers!$A$1:$A$1001,customers!$B$1:$B$1001,,0,1)</f>
        <v>Jimmy Dymoke</v>
      </c>
      <c r="G741" s="2" t="str">
        <f>IF((_xlfn.XLOOKUP(C741,customers!$A$2:$A$1001,customers!$C$2:$C$1001,,,)=0),"",(_xlfn.XLOOKUP(C741,customers!$A$2:$A$1001,customers!$C$2:$C$1001,,0,)))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11"/>
        <v>18.225000000000001</v>
      </c>
      <c r="N741" t="str" cm="1">
        <f t="array" ref="N741">_xlfn.IFS(I741="rob","Robusta",I741="exc","Excesla",I741="ara","Arabica",I741="lib","Liberica")</f>
        <v>Excesla</v>
      </c>
      <c r="O741" t="str" cm="1">
        <f t="array" ref="O741">_xlfn.IFS(J741="m","Medium",J741="l","Light",J741="d","Dark")</f>
        <v>Dark</v>
      </c>
      <c r="P741" t="str">
        <f>_xlfn.XLOOKUP(orders[[#This Row],[Customer ID]],customers!$A$2:$A$1001,customers!$I$2:$I$1001,,0)</f>
        <v>No</v>
      </c>
    </row>
    <row r="742" spans="1:16" x14ac:dyDescent="0.3">
      <c r="A742" s="2" t="s">
        <v>4670</v>
      </c>
      <c r="B742" s="6">
        <v>44643</v>
      </c>
      <c r="C742" s="2" t="s">
        <v>4671</v>
      </c>
      <c r="D742" t="s">
        <v>6173</v>
      </c>
      <c r="E742" s="2">
        <v>4</v>
      </c>
      <c r="F742" s="2" t="str">
        <f>_xlfn.XLOOKUP(C742,customers!$A$1:$A$1001,customers!$B$1:$B$1001,,0,1)</f>
        <v>Kandace Cragell</v>
      </c>
      <c r="G742" s="2" t="str">
        <f>IF((_xlfn.XLOOKUP(C742,customers!$A$2:$A$1001,customers!$C$2:$C$1001,,,)=0),"",(_xlfn.XLOOKUP(C742,customers!$A$2:$A$1001,customers!$C$2:$C$1001,,0,)))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11"/>
        <v>28.679999999999996</v>
      </c>
      <c r="N742" t="str" cm="1">
        <f t="array" ref="N742">_xlfn.IFS(I742="rob","Robusta",I742="exc","Excesla",I742="ara","Arabica",I742="lib","Liberica")</f>
        <v>Robusta</v>
      </c>
      <c r="O742" t="str" cm="1">
        <f t="array" ref="O742">_xlfn.IFS(J742="m","Medium",J742="l","Light",J742="d","Dark")</f>
        <v>Light</v>
      </c>
      <c r="P742" t="str">
        <f>_xlfn.XLOOKUP(orders[[#This Row],[Customer ID]],customers!$A$2:$A$1001,customers!$I$2:$I$1001,,0)</f>
        <v>No</v>
      </c>
    </row>
    <row r="743" spans="1:16" x14ac:dyDescent="0.3">
      <c r="A743" s="2" t="s">
        <v>4676</v>
      </c>
      <c r="B743" s="6">
        <v>43566</v>
      </c>
      <c r="C743" s="2" t="s">
        <v>4677</v>
      </c>
      <c r="D743" t="s">
        <v>6159</v>
      </c>
      <c r="E743" s="2">
        <v>2</v>
      </c>
      <c r="F743" s="2" t="str">
        <f>_xlfn.XLOOKUP(C743,customers!$A$1:$A$1001,customers!$B$1:$B$1001,,0,1)</f>
        <v>Lyon Ibert</v>
      </c>
      <c r="G743" s="2" t="str">
        <f>IF((_xlfn.XLOOKUP(C743,customers!$A$2:$A$1001,customers!$C$2:$C$1001,,,)=0),"",(_xlfn.XLOOKUP(C743,customers!$A$2:$A$1001,customers!$C$2:$C$1001,,0,)))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11"/>
        <v>8.73</v>
      </c>
      <c r="N743" t="str" cm="1">
        <f t="array" ref="N743">_xlfn.IFS(I743="rob","Robusta",I743="exc","Excesla",I743="ara","Arabica",I743="lib","Liberica")</f>
        <v>Liberica</v>
      </c>
      <c r="O743" t="str" cm="1">
        <f t="array" ref="O743">_xlfn.IFS(J743="m","Medium",J743="l","Light",J743="d","Dark")</f>
        <v>Medium</v>
      </c>
      <c r="P743" t="str">
        <f>_xlfn.XLOOKUP(orders[[#This Row],[Customer ID]],customers!$A$2:$A$1001,customers!$I$2:$I$1001,,0)</f>
        <v>No</v>
      </c>
    </row>
    <row r="744" spans="1:16" x14ac:dyDescent="0.3">
      <c r="A744" s="2" t="s">
        <v>4682</v>
      </c>
      <c r="B744" s="6">
        <v>44133</v>
      </c>
      <c r="C744" s="2" t="s">
        <v>4683</v>
      </c>
      <c r="D744" t="s">
        <v>6162</v>
      </c>
      <c r="E744" s="2">
        <v>4</v>
      </c>
      <c r="F744" s="2" t="str">
        <f>_xlfn.XLOOKUP(C744,customers!$A$1:$A$1001,customers!$B$1:$B$1001,,0,1)</f>
        <v>Reese Lidgey</v>
      </c>
      <c r="G744" s="2" t="str">
        <f>IF((_xlfn.XLOOKUP(C744,customers!$A$2:$A$1001,customers!$C$2:$C$1001,,,)=0),"",(_xlfn.XLOOKUP(C744,customers!$A$2:$A$1001,customers!$C$2:$C$1001,,0,)))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11"/>
        <v>58.2</v>
      </c>
      <c r="N744" t="str" cm="1">
        <f t="array" ref="N744">_xlfn.IFS(I744="rob","Robusta",I744="exc","Excesla",I744="ara","Arabica",I744="lib","Liberica")</f>
        <v>Liberica</v>
      </c>
      <c r="O744" t="str" cm="1">
        <f t="array" ref="O744">_xlfn.IFS(J744="m","Medium",J744="l","Light",J744="d","Dark")</f>
        <v>Medium</v>
      </c>
      <c r="P744" t="str">
        <f>_xlfn.XLOOKUP(orders[[#This Row],[Customer ID]],customers!$A$2:$A$1001,customers!$I$2:$I$1001,,0)</f>
        <v>No</v>
      </c>
    </row>
    <row r="745" spans="1:16" x14ac:dyDescent="0.3">
      <c r="A745" s="2" t="s">
        <v>4688</v>
      </c>
      <c r="B745" s="6">
        <v>44042</v>
      </c>
      <c r="C745" s="2" t="s">
        <v>4689</v>
      </c>
      <c r="D745" t="s">
        <v>6158</v>
      </c>
      <c r="E745" s="2">
        <v>3</v>
      </c>
      <c r="F745" s="2" t="str">
        <f>_xlfn.XLOOKUP(C745,customers!$A$1:$A$1001,customers!$B$1:$B$1001,,0,1)</f>
        <v>Tersina Castagne</v>
      </c>
      <c r="G745" s="2" t="str">
        <f>IF((_xlfn.XLOOKUP(C745,customers!$A$2:$A$1001,customers!$C$2:$C$1001,,,)=0),"",(_xlfn.XLOOKUP(C745,customers!$A$2:$A$1001,customers!$C$2:$C$1001,,0,)))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11"/>
        <v>17.91</v>
      </c>
      <c r="N745" t="str" cm="1">
        <f t="array" ref="N745">_xlfn.IFS(I745="rob","Robusta",I745="exc","Excesla",I745="ara","Arabica",I745="lib","Liberica")</f>
        <v>Arabica</v>
      </c>
      <c r="O745" t="str" cm="1">
        <f t="array" ref="O745">_xlfn.IFS(J745="m","Medium",J745="l","Light",J745="d","Dark")</f>
        <v>Dark</v>
      </c>
      <c r="P745" t="str">
        <f>_xlfn.XLOOKUP(orders[[#This Row],[Customer ID]],customers!$A$2:$A$1001,customers!$I$2:$I$1001,,0)</f>
        <v>No</v>
      </c>
    </row>
    <row r="746" spans="1:16" x14ac:dyDescent="0.3">
      <c r="A746" s="2" t="s">
        <v>4694</v>
      </c>
      <c r="B746" s="6">
        <v>43539</v>
      </c>
      <c r="C746" s="2" t="s">
        <v>4695</v>
      </c>
      <c r="D746" t="s">
        <v>6174</v>
      </c>
      <c r="E746" s="2">
        <v>6</v>
      </c>
      <c r="F746" s="2" t="str">
        <f>_xlfn.XLOOKUP(C746,customers!$A$1:$A$1001,customers!$B$1:$B$1001,,0,1)</f>
        <v>Samuele Klaaassen</v>
      </c>
      <c r="G746" s="2" t="str">
        <f>IF((_xlfn.XLOOKUP(C746,customers!$A$2:$A$1001,customers!$C$2:$C$1001,,,)=0),"",(_xlfn.XLOOKUP(C746,customers!$A$2:$A$1001,customers!$C$2:$C$1001,,0,)))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11"/>
        <v>17.91</v>
      </c>
      <c r="N746" t="str" cm="1">
        <f t="array" ref="N746">_xlfn.IFS(I746="rob","Robusta",I746="exc","Excesla",I746="ara","Arabica",I746="lib","Liberica")</f>
        <v>Robusta</v>
      </c>
      <c r="O746" t="str" cm="1">
        <f t="array" ref="O746">_xlfn.IFS(J746="m","Medium",J746="l","Light",J746="d","Dark")</f>
        <v>Medium</v>
      </c>
      <c r="P746" t="str">
        <f>_xlfn.XLOOKUP(orders[[#This Row],[Customer ID]],customers!$A$2:$A$1001,customers!$I$2:$I$1001,,0)</f>
        <v>Yes</v>
      </c>
    </row>
    <row r="747" spans="1:16" x14ac:dyDescent="0.3">
      <c r="A747" s="2" t="s">
        <v>4699</v>
      </c>
      <c r="B747" s="6">
        <v>44557</v>
      </c>
      <c r="C747" s="2" t="s">
        <v>4700</v>
      </c>
      <c r="D747" t="s">
        <v>6144</v>
      </c>
      <c r="E747" s="2">
        <v>2</v>
      </c>
      <c r="F747" s="2" t="str">
        <f>_xlfn.XLOOKUP(C747,customers!$A$1:$A$1001,customers!$B$1:$B$1001,,0,1)</f>
        <v>Jordana Halden</v>
      </c>
      <c r="G747" s="2" t="str">
        <f>IF((_xlfn.XLOOKUP(C747,customers!$A$2:$A$1001,customers!$C$2:$C$1001,,,)=0),"",(_xlfn.XLOOKUP(C747,customers!$A$2:$A$1001,customers!$C$2:$C$1001,,0,)))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11"/>
        <v>14.58</v>
      </c>
      <c r="N747" t="str" cm="1">
        <f t="array" ref="N747">_xlfn.IFS(I747="rob","Robusta",I747="exc","Excesla",I747="ara","Arabica",I747="lib","Liberica")</f>
        <v>Excesla</v>
      </c>
      <c r="O747" t="str" cm="1">
        <f t="array" ref="O747">_xlfn.IFS(J747="m","Medium",J747="l","Light",J747="d","Dark")</f>
        <v>Dark</v>
      </c>
      <c r="P747" t="str">
        <f>_xlfn.XLOOKUP(orders[[#This Row],[Customer ID]],customers!$A$2:$A$1001,customers!$I$2:$I$1001,,0)</f>
        <v>No</v>
      </c>
    </row>
    <row r="748" spans="1:16" x14ac:dyDescent="0.3">
      <c r="A748" s="2" t="s">
        <v>4705</v>
      </c>
      <c r="B748" s="6">
        <v>43741</v>
      </c>
      <c r="C748" s="2" t="s">
        <v>4706</v>
      </c>
      <c r="D748" t="s">
        <v>6155</v>
      </c>
      <c r="E748" s="2">
        <v>3</v>
      </c>
      <c r="F748" s="2" t="str">
        <f>_xlfn.XLOOKUP(C748,customers!$A$1:$A$1001,customers!$B$1:$B$1001,,0,1)</f>
        <v>Hussein Olliff</v>
      </c>
      <c r="G748" s="2" t="str">
        <f>IF((_xlfn.XLOOKUP(C748,customers!$A$2:$A$1001,customers!$C$2:$C$1001,,,)=0),"",(_xlfn.XLOOKUP(C748,customers!$A$2:$A$1001,customers!$C$2:$C$1001,,0,)))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11"/>
        <v>33.75</v>
      </c>
      <c r="N748" t="str" cm="1">
        <f t="array" ref="N748">_xlfn.IFS(I748="rob","Robusta",I748="exc","Excesla",I748="ara","Arabica",I748="lib","Liberica")</f>
        <v>Arabica</v>
      </c>
      <c r="O748" t="str" cm="1">
        <f t="array" ref="O748">_xlfn.IFS(J748="m","Medium",J748="l","Light",J748="d","Dark")</f>
        <v>Medium</v>
      </c>
      <c r="P748" t="str">
        <f>_xlfn.XLOOKUP(orders[[#This Row],[Customer ID]],customers!$A$2:$A$1001,customers!$I$2:$I$1001,,0)</f>
        <v>No</v>
      </c>
    </row>
    <row r="749" spans="1:16" x14ac:dyDescent="0.3">
      <c r="A749" s="2" t="s">
        <v>4711</v>
      </c>
      <c r="B749" s="6">
        <v>43501</v>
      </c>
      <c r="C749" s="2" t="s">
        <v>4712</v>
      </c>
      <c r="D749" t="s">
        <v>6160</v>
      </c>
      <c r="E749" s="2">
        <v>4</v>
      </c>
      <c r="F749" s="2" t="str">
        <f>_xlfn.XLOOKUP(C749,customers!$A$1:$A$1001,customers!$B$1:$B$1001,,0,1)</f>
        <v>Teddi Quadri</v>
      </c>
      <c r="G749" s="2" t="str">
        <f>IF((_xlfn.XLOOKUP(C749,customers!$A$2:$A$1001,customers!$C$2:$C$1001,,,)=0),"",(_xlfn.XLOOKUP(C749,customers!$A$2:$A$1001,customers!$C$2:$C$1001,,0,)))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11"/>
        <v>34.92</v>
      </c>
      <c r="N749" t="str" cm="1">
        <f t="array" ref="N749">_xlfn.IFS(I749="rob","Robusta",I749="exc","Excesla",I749="ara","Arabica",I749="lib","Liberica")</f>
        <v>Liberica</v>
      </c>
      <c r="O749" t="str" cm="1">
        <f t="array" ref="O749">_xlfn.IFS(J749="m","Medium",J749="l","Light",J749="d","Dark")</f>
        <v>Medium</v>
      </c>
      <c r="P749" t="str">
        <f>_xlfn.XLOOKUP(orders[[#This Row],[Customer ID]],customers!$A$2:$A$1001,customers!$I$2:$I$1001,,0)</f>
        <v>Yes</v>
      </c>
    </row>
    <row r="750" spans="1:16" x14ac:dyDescent="0.3">
      <c r="A750" s="2" t="s">
        <v>4717</v>
      </c>
      <c r="B750" s="6">
        <v>44074</v>
      </c>
      <c r="C750" s="2" t="s">
        <v>4718</v>
      </c>
      <c r="D750" t="s">
        <v>6144</v>
      </c>
      <c r="E750" s="2">
        <v>2</v>
      </c>
      <c r="F750" s="2" t="str">
        <f>_xlfn.XLOOKUP(C750,customers!$A$1:$A$1001,customers!$B$1:$B$1001,,0,1)</f>
        <v>Felita Eshmade</v>
      </c>
      <c r="G750" s="2" t="str">
        <f>IF((_xlfn.XLOOKUP(C750,customers!$A$2:$A$1001,customers!$C$2:$C$1001,,,)=0),"",(_xlfn.XLOOKUP(C750,customers!$A$2:$A$1001,customers!$C$2:$C$1001,,0,)))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11"/>
        <v>14.58</v>
      </c>
      <c r="N750" t="str" cm="1">
        <f t="array" ref="N750">_xlfn.IFS(I750="rob","Robusta",I750="exc","Excesla",I750="ara","Arabica",I750="lib","Liberica")</f>
        <v>Excesla</v>
      </c>
      <c r="O750" t="str" cm="1">
        <f t="array" ref="O750">_xlfn.IFS(J750="m","Medium",J750="l","Light",J750="d","Dark")</f>
        <v>Dark</v>
      </c>
      <c r="P750" t="str">
        <f>_xlfn.XLOOKUP(orders[[#This Row],[Customer ID]],customers!$A$2:$A$1001,customers!$I$2:$I$1001,,0)</f>
        <v>No</v>
      </c>
    </row>
    <row r="751" spans="1:16" x14ac:dyDescent="0.3">
      <c r="A751" s="2" t="s">
        <v>4723</v>
      </c>
      <c r="B751" s="6">
        <v>44209</v>
      </c>
      <c r="C751" s="2" t="s">
        <v>4724</v>
      </c>
      <c r="D751" t="s">
        <v>6163</v>
      </c>
      <c r="E751" s="2">
        <v>2</v>
      </c>
      <c r="F751" s="2" t="str">
        <f>_xlfn.XLOOKUP(C751,customers!$A$1:$A$1001,customers!$B$1:$B$1001,,0,1)</f>
        <v>Melodie OIlier</v>
      </c>
      <c r="G751" s="2" t="str">
        <f>IF((_xlfn.XLOOKUP(C751,customers!$A$2:$A$1001,customers!$C$2:$C$1001,,,)=0),"",(_xlfn.XLOOKUP(C751,customers!$A$2:$A$1001,customers!$C$2:$C$1001,,0,)))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11"/>
        <v>5.3699999999999992</v>
      </c>
      <c r="N751" t="str" cm="1">
        <f t="array" ref="N751">_xlfn.IFS(I751="rob","Robusta",I751="exc","Excesla",I751="ara","Arabica",I751="lib","Liberica")</f>
        <v>Robusta</v>
      </c>
      <c r="O751" t="str" cm="1">
        <f t="array" ref="O751">_xlfn.IFS(J751="m","Medium",J751="l","Light",J751="d","Dark")</f>
        <v>Dark</v>
      </c>
      <c r="P751" t="str">
        <f>_xlfn.XLOOKUP(orders[[#This Row],[Customer ID]],customers!$A$2:$A$1001,customers!$I$2:$I$1001,,0)</f>
        <v>Yes</v>
      </c>
    </row>
    <row r="752" spans="1:16" x14ac:dyDescent="0.3">
      <c r="A752" s="2" t="s">
        <v>4730</v>
      </c>
      <c r="B752" s="6">
        <v>44277</v>
      </c>
      <c r="C752" s="2" t="s">
        <v>4731</v>
      </c>
      <c r="D752" t="s">
        <v>6146</v>
      </c>
      <c r="E752" s="2">
        <v>1</v>
      </c>
      <c r="F752" s="2" t="str">
        <f>_xlfn.XLOOKUP(C752,customers!$A$1:$A$1001,customers!$B$1:$B$1001,,0,1)</f>
        <v>Hazel Iacopini</v>
      </c>
      <c r="G752" s="2" t="str">
        <f>IF((_xlfn.XLOOKUP(C752,customers!$A$2:$A$1001,customers!$C$2:$C$1001,,,)=0),"",(_xlfn.XLOOKUP(C752,customers!$A$2:$A$1001,customers!$C$2:$C$1001,,0,)))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11"/>
        <v>5.97</v>
      </c>
      <c r="N752" t="str" cm="1">
        <f t="array" ref="N752">_xlfn.IFS(I752="rob","Robusta",I752="exc","Excesla",I752="ara","Arabica",I752="lib","Liberica")</f>
        <v>Robusta</v>
      </c>
      <c r="O752" t="str" cm="1">
        <f t="array" ref="O752">_xlfn.IFS(J752="m","Medium",J752="l","Light",J752="d","Dark")</f>
        <v>Medium</v>
      </c>
      <c r="P752" t="str">
        <f>_xlfn.XLOOKUP(orders[[#This Row],[Customer ID]],customers!$A$2:$A$1001,customers!$I$2:$I$1001,,0)</f>
        <v>Yes</v>
      </c>
    </row>
    <row r="753" spans="1:16" x14ac:dyDescent="0.3">
      <c r="A753" s="2" t="s">
        <v>4735</v>
      </c>
      <c r="B753" s="6">
        <v>43847</v>
      </c>
      <c r="C753" s="2" t="s">
        <v>4736</v>
      </c>
      <c r="D753" t="s">
        <v>6161</v>
      </c>
      <c r="E753" s="2">
        <v>2</v>
      </c>
      <c r="F753" s="2" t="str">
        <f>_xlfn.XLOOKUP(C753,customers!$A$1:$A$1001,customers!$B$1:$B$1001,,0,1)</f>
        <v>Vinny Shoebotham</v>
      </c>
      <c r="G753" s="2" t="str">
        <f>IF((_xlfn.XLOOKUP(C753,customers!$A$2:$A$1001,customers!$C$2:$C$1001,,,)=0),"",(_xlfn.XLOOKUP(C753,customers!$A$2:$A$1001,customers!$C$2:$C$1001,,0,)))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11"/>
        <v>19.02</v>
      </c>
      <c r="N753" t="str" cm="1">
        <f t="array" ref="N753">_xlfn.IFS(I753="rob","Robusta",I753="exc","Excesla",I753="ara","Arabica",I753="lib","Liberica")</f>
        <v>Liberica</v>
      </c>
      <c r="O753" t="str" cm="1">
        <f t="array" ref="O753">_xlfn.IFS(J753="m","Medium",J753="l","Light",J753="d","Dark")</f>
        <v>Light</v>
      </c>
      <c r="P753" t="str">
        <f>_xlfn.XLOOKUP(orders[[#This Row],[Customer ID]],customers!$A$2:$A$1001,customers!$I$2:$I$1001,,0)</f>
        <v>No</v>
      </c>
    </row>
    <row r="754" spans="1:16" x14ac:dyDescent="0.3">
      <c r="A754" s="2" t="s">
        <v>4741</v>
      </c>
      <c r="B754" s="6">
        <v>43648</v>
      </c>
      <c r="C754" s="2" t="s">
        <v>4742</v>
      </c>
      <c r="D754" t="s">
        <v>6141</v>
      </c>
      <c r="E754" s="2">
        <v>2</v>
      </c>
      <c r="F754" s="2" t="str">
        <f>_xlfn.XLOOKUP(C754,customers!$A$1:$A$1001,customers!$B$1:$B$1001,,0,1)</f>
        <v>Bran Sterke</v>
      </c>
      <c r="G754" s="2" t="str">
        <f>IF((_xlfn.XLOOKUP(C754,customers!$A$2:$A$1001,customers!$C$2:$C$1001,,,)=0),"",(_xlfn.XLOOKUP(C754,customers!$A$2:$A$1001,customers!$C$2:$C$1001,,0,)))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11"/>
        <v>27.5</v>
      </c>
      <c r="N754" t="str" cm="1">
        <f t="array" ref="N754">_xlfn.IFS(I754="rob","Robusta",I754="exc","Excesla",I754="ara","Arabica",I754="lib","Liberica")</f>
        <v>Excesla</v>
      </c>
      <c r="O754" t="str" cm="1">
        <f t="array" ref="O754">_xlfn.IFS(J754="m","Medium",J754="l","Light",J754="d","Dark")</f>
        <v>Medium</v>
      </c>
      <c r="P754" t="str">
        <f>_xlfn.XLOOKUP(orders[[#This Row],[Customer ID]],customers!$A$2:$A$1001,customers!$I$2:$I$1001,,0)</f>
        <v>Yes</v>
      </c>
    </row>
    <row r="755" spans="1:16" x14ac:dyDescent="0.3">
      <c r="A755" s="2" t="s">
        <v>4747</v>
      </c>
      <c r="B755" s="6">
        <v>44704</v>
      </c>
      <c r="C755" s="2" t="s">
        <v>4748</v>
      </c>
      <c r="D755" t="s">
        <v>6158</v>
      </c>
      <c r="E755" s="2">
        <v>5</v>
      </c>
      <c r="F755" s="2" t="str">
        <f>_xlfn.XLOOKUP(C755,customers!$A$1:$A$1001,customers!$B$1:$B$1001,,0,1)</f>
        <v>Simone Capon</v>
      </c>
      <c r="G755" s="2" t="str">
        <f>IF((_xlfn.XLOOKUP(C755,customers!$A$2:$A$1001,customers!$C$2:$C$1001,,,)=0),"",(_xlfn.XLOOKUP(C755,customers!$A$2:$A$1001,customers!$C$2:$C$1001,,0,)))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11"/>
        <v>29.849999999999998</v>
      </c>
      <c r="N755" t="str" cm="1">
        <f t="array" ref="N755">_xlfn.IFS(I755="rob","Robusta",I755="exc","Excesla",I755="ara","Arabica",I755="lib","Liberica")</f>
        <v>Arabica</v>
      </c>
      <c r="O755" t="str" cm="1">
        <f t="array" ref="O755">_xlfn.IFS(J755="m","Medium",J755="l","Light",J755="d","Dark")</f>
        <v>Dark</v>
      </c>
      <c r="P755" t="str">
        <f>_xlfn.XLOOKUP(orders[[#This Row],[Customer ID]],customers!$A$2:$A$1001,customers!$I$2:$I$1001,,0)</f>
        <v>No</v>
      </c>
    </row>
    <row r="756" spans="1:16" x14ac:dyDescent="0.3">
      <c r="A756" s="2" t="s">
        <v>4753</v>
      </c>
      <c r="B756" s="6">
        <v>44726</v>
      </c>
      <c r="C756" s="2" t="s">
        <v>4434</v>
      </c>
      <c r="D756" t="s">
        <v>6154</v>
      </c>
      <c r="E756" s="2">
        <v>6</v>
      </c>
      <c r="F756" s="2" t="str">
        <f>_xlfn.XLOOKUP(C756,customers!$A$1:$A$1001,customers!$B$1:$B$1001,,0,1)</f>
        <v>Jimmy Dymoke</v>
      </c>
      <c r="G756" s="2" t="str">
        <f>IF((_xlfn.XLOOKUP(C756,customers!$A$2:$A$1001,customers!$C$2:$C$1001,,,)=0),"",(_xlfn.XLOOKUP(C756,customers!$A$2:$A$1001,customers!$C$2:$C$1001,,0,)))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11"/>
        <v>17.91</v>
      </c>
      <c r="N756" t="str" cm="1">
        <f t="array" ref="N756">_xlfn.IFS(I756="rob","Robusta",I756="exc","Excesla",I756="ara","Arabica",I756="lib","Liberica")</f>
        <v>Arabica</v>
      </c>
      <c r="O756" t="str" cm="1">
        <f t="array" ref="O756">_xlfn.IFS(J756="m","Medium",J756="l","Light",J756="d","Dark")</f>
        <v>Dark</v>
      </c>
      <c r="P756" t="str">
        <f>_xlfn.XLOOKUP(orders[[#This Row],[Customer ID]],customers!$A$2:$A$1001,customers!$I$2:$I$1001,,0)</f>
        <v>No</v>
      </c>
    </row>
    <row r="757" spans="1:16" x14ac:dyDescent="0.3">
      <c r="A757" s="2" t="s">
        <v>4758</v>
      </c>
      <c r="B757" s="6">
        <v>44397</v>
      </c>
      <c r="C757" s="2" t="s">
        <v>4759</v>
      </c>
      <c r="D757" t="s">
        <v>6145</v>
      </c>
      <c r="E757" s="2">
        <v>6</v>
      </c>
      <c r="F757" s="2" t="str">
        <f>_xlfn.XLOOKUP(C757,customers!$A$1:$A$1001,customers!$B$1:$B$1001,,0,1)</f>
        <v>Foster Constance</v>
      </c>
      <c r="G757" s="2" t="str">
        <f>IF((_xlfn.XLOOKUP(C757,customers!$A$2:$A$1001,customers!$C$2:$C$1001,,,)=0),"",(_xlfn.XLOOKUP(C757,customers!$A$2:$A$1001,customers!$C$2:$C$1001,,0,)))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11"/>
        <v>28.53</v>
      </c>
      <c r="N757" t="str" cm="1">
        <f t="array" ref="N757">_xlfn.IFS(I757="rob","Robusta",I757="exc","Excesla",I757="ara","Arabica",I757="lib","Liberica")</f>
        <v>Liberica</v>
      </c>
      <c r="O757" t="str" cm="1">
        <f t="array" ref="O757">_xlfn.IFS(J757="m","Medium",J757="l","Light",J757="d","Dark")</f>
        <v>Light</v>
      </c>
      <c r="P757" t="str">
        <f>_xlfn.XLOOKUP(orders[[#This Row],[Customer ID]],customers!$A$2:$A$1001,customers!$I$2:$I$1001,,0)</f>
        <v>No</v>
      </c>
    </row>
    <row r="758" spans="1:16" x14ac:dyDescent="0.3">
      <c r="A758" s="2" t="s">
        <v>4764</v>
      </c>
      <c r="B758" s="6">
        <v>44715</v>
      </c>
      <c r="C758" s="2" t="s">
        <v>4765</v>
      </c>
      <c r="D758" t="s">
        <v>6177</v>
      </c>
      <c r="E758" s="2">
        <v>4</v>
      </c>
      <c r="F758" s="2" t="str">
        <f>_xlfn.XLOOKUP(C758,customers!$A$1:$A$1001,customers!$B$1:$B$1001,,0,1)</f>
        <v>Fernando Sulman</v>
      </c>
      <c r="G758" s="2" t="str">
        <f>IF((_xlfn.XLOOKUP(C758,customers!$A$2:$A$1001,customers!$C$2:$C$1001,,,)=0),"",(_xlfn.XLOOKUP(C758,customers!$A$2:$A$1001,customers!$C$2:$C$1001,,0,)))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11"/>
        <v>35.799999999999997</v>
      </c>
      <c r="N758" t="str" cm="1">
        <f t="array" ref="N758">_xlfn.IFS(I758="rob","Robusta",I758="exc","Excesla",I758="ara","Arabica",I758="lib","Liberica")</f>
        <v>Robusta</v>
      </c>
      <c r="O758" t="str" cm="1">
        <f t="array" ref="O758">_xlfn.IFS(J758="m","Medium",J758="l","Light",J758="d","Dark")</f>
        <v>Dark</v>
      </c>
      <c r="P758" t="str">
        <f>_xlfn.XLOOKUP(orders[[#This Row],[Customer ID]],customers!$A$2:$A$1001,customers!$I$2:$I$1001,,0)</f>
        <v>Yes</v>
      </c>
    </row>
    <row r="759" spans="1:16" x14ac:dyDescent="0.3">
      <c r="A759" s="2" t="s">
        <v>4770</v>
      </c>
      <c r="B759" s="6">
        <v>43977</v>
      </c>
      <c r="C759" s="2" t="s">
        <v>4771</v>
      </c>
      <c r="D759" t="s">
        <v>6158</v>
      </c>
      <c r="E759" s="2">
        <v>3</v>
      </c>
      <c r="F759" s="2" t="str">
        <f>_xlfn.XLOOKUP(C759,customers!$A$1:$A$1001,customers!$B$1:$B$1001,,0,1)</f>
        <v>Dorotea Hollyman</v>
      </c>
      <c r="G759" s="2" t="str">
        <f>IF((_xlfn.XLOOKUP(C759,customers!$A$2:$A$1001,customers!$C$2:$C$1001,,,)=0),"",(_xlfn.XLOOKUP(C759,customers!$A$2:$A$1001,customers!$C$2:$C$1001,,0,)))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11"/>
        <v>17.91</v>
      </c>
      <c r="N759" t="str" cm="1">
        <f t="array" ref="N759">_xlfn.IFS(I759="rob","Robusta",I759="exc","Excesla",I759="ara","Arabica",I759="lib","Liberica")</f>
        <v>Arabica</v>
      </c>
      <c r="O759" t="str" cm="1">
        <f t="array" ref="O759">_xlfn.IFS(J759="m","Medium",J759="l","Light",J759="d","Dark")</f>
        <v>Dark</v>
      </c>
      <c r="P759" t="str">
        <f>_xlfn.XLOOKUP(orders[[#This Row],[Customer ID]],customers!$A$2:$A$1001,customers!$I$2:$I$1001,,0)</f>
        <v>Yes</v>
      </c>
    </row>
    <row r="760" spans="1:16" x14ac:dyDescent="0.3">
      <c r="A760" s="2" t="s">
        <v>4776</v>
      </c>
      <c r="B760" s="6">
        <v>43672</v>
      </c>
      <c r="C760" s="2" t="s">
        <v>4777</v>
      </c>
      <c r="D760" t="s">
        <v>6177</v>
      </c>
      <c r="E760" s="2">
        <v>1</v>
      </c>
      <c r="F760" s="2" t="str">
        <f>_xlfn.XLOOKUP(C760,customers!$A$1:$A$1001,customers!$B$1:$B$1001,,0,1)</f>
        <v>Lorelei Nardoni</v>
      </c>
      <c r="G760" s="2" t="str">
        <f>IF((_xlfn.XLOOKUP(C760,customers!$A$2:$A$1001,customers!$C$2:$C$1001,,,)=0),"",(_xlfn.XLOOKUP(C760,customers!$A$2:$A$1001,customers!$C$2:$C$1001,,0,)))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11"/>
        <v>8.9499999999999993</v>
      </c>
      <c r="N760" t="str" cm="1">
        <f t="array" ref="N760">_xlfn.IFS(I760="rob","Robusta",I760="exc","Excesla",I760="ara","Arabica",I760="lib","Liberica")</f>
        <v>Robusta</v>
      </c>
      <c r="O760" t="str" cm="1">
        <f t="array" ref="O760">_xlfn.IFS(J760="m","Medium",J760="l","Light",J760="d","Dark")</f>
        <v>Dark</v>
      </c>
      <c r="P760" t="str">
        <f>_xlfn.XLOOKUP(orders[[#This Row],[Customer ID]],customers!$A$2:$A$1001,customers!$I$2:$I$1001,,0)</f>
        <v>No</v>
      </c>
    </row>
    <row r="761" spans="1:16" x14ac:dyDescent="0.3">
      <c r="A761" s="2" t="s">
        <v>4781</v>
      </c>
      <c r="B761" s="6">
        <v>44126</v>
      </c>
      <c r="C761" s="2" t="s">
        <v>4782</v>
      </c>
      <c r="D761" t="s">
        <v>6165</v>
      </c>
      <c r="E761" s="2">
        <v>1</v>
      </c>
      <c r="F761" s="2" t="str">
        <f>_xlfn.XLOOKUP(C761,customers!$A$1:$A$1001,customers!$B$1:$B$1001,,0,1)</f>
        <v>Dallas Yarham</v>
      </c>
      <c r="G761" s="2" t="str">
        <f>IF((_xlfn.XLOOKUP(C761,customers!$A$2:$A$1001,customers!$C$2:$C$1001,,,)=0),"",(_xlfn.XLOOKUP(C761,customers!$A$2:$A$1001,customers!$C$2:$C$1001,,0,)))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11"/>
        <v>29.784999999999997</v>
      </c>
      <c r="N761" t="str" cm="1">
        <f t="array" ref="N761">_xlfn.IFS(I761="rob","Robusta",I761="exc","Excesla",I761="ara","Arabica",I761="lib","Liberica")</f>
        <v>Liberica</v>
      </c>
      <c r="O761" t="str" cm="1">
        <f t="array" ref="O761">_xlfn.IFS(J761="m","Medium",J761="l","Light",J761="d","Dark")</f>
        <v>Dark</v>
      </c>
      <c r="P761" t="str">
        <f>_xlfn.XLOOKUP(orders[[#This Row],[Customer ID]],customers!$A$2:$A$1001,customers!$I$2:$I$1001,,0)</f>
        <v>Yes</v>
      </c>
    </row>
    <row r="762" spans="1:16" x14ac:dyDescent="0.3">
      <c r="A762" s="2" t="s">
        <v>4787</v>
      </c>
      <c r="B762" s="6">
        <v>44189</v>
      </c>
      <c r="C762" s="2" t="s">
        <v>4788</v>
      </c>
      <c r="D762" t="s">
        <v>6176</v>
      </c>
      <c r="E762" s="2">
        <v>5</v>
      </c>
      <c r="F762" s="2" t="str">
        <f>_xlfn.XLOOKUP(C762,customers!$A$1:$A$1001,customers!$B$1:$B$1001,,0,1)</f>
        <v>Arlana Ferrea</v>
      </c>
      <c r="G762" s="2" t="str">
        <f>IF((_xlfn.XLOOKUP(C762,customers!$A$2:$A$1001,customers!$C$2:$C$1001,,,)=0),"",(_xlfn.XLOOKUP(C762,customers!$A$2:$A$1001,customers!$C$2:$C$1001,,0,)))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11"/>
        <v>44.55</v>
      </c>
      <c r="N762" t="str" cm="1">
        <f t="array" ref="N762">_xlfn.IFS(I762="rob","Robusta",I762="exc","Excesla",I762="ara","Arabica",I762="lib","Liberica")</f>
        <v>Excesla</v>
      </c>
      <c r="O762" t="str" cm="1">
        <f t="array" ref="O762">_xlfn.IFS(J762="m","Medium",J762="l","Light",J762="d","Dark")</f>
        <v>Light</v>
      </c>
      <c r="P762" t="str">
        <f>_xlfn.XLOOKUP(orders[[#This Row],[Customer ID]],customers!$A$2:$A$1001,customers!$I$2:$I$1001,,0)</f>
        <v>No</v>
      </c>
    </row>
    <row r="763" spans="1:16" x14ac:dyDescent="0.3">
      <c r="A763" s="2" t="s">
        <v>4792</v>
      </c>
      <c r="B763" s="6">
        <v>43714</v>
      </c>
      <c r="C763" s="2" t="s">
        <v>4793</v>
      </c>
      <c r="D763" t="s">
        <v>6171</v>
      </c>
      <c r="E763" s="2">
        <v>6</v>
      </c>
      <c r="F763" s="2" t="str">
        <f>_xlfn.XLOOKUP(C763,customers!$A$1:$A$1001,customers!$B$1:$B$1001,,0,1)</f>
        <v>Chuck Kendrick</v>
      </c>
      <c r="G763" s="2" t="str">
        <f>IF((_xlfn.XLOOKUP(C763,customers!$A$2:$A$1001,customers!$C$2:$C$1001,,,)=0),"",(_xlfn.XLOOKUP(C763,customers!$A$2:$A$1001,customers!$C$2:$C$1001,,0,)))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11"/>
        <v>89.1</v>
      </c>
      <c r="N763" t="str" cm="1">
        <f t="array" ref="N763">_xlfn.IFS(I763="rob","Robusta",I763="exc","Excesla",I763="ara","Arabica",I763="lib","Liberica")</f>
        <v>Excesla</v>
      </c>
      <c r="O763" t="str" cm="1">
        <f t="array" ref="O763">_xlfn.IFS(J763="m","Medium",J763="l","Light",J763="d","Dark")</f>
        <v>Light</v>
      </c>
      <c r="P763" t="str">
        <f>_xlfn.XLOOKUP(orders[[#This Row],[Customer ID]],customers!$A$2:$A$1001,customers!$I$2:$I$1001,,0)</f>
        <v>Yes</v>
      </c>
    </row>
    <row r="764" spans="1:16" x14ac:dyDescent="0.3">
      <c r="A764" s="2" t="s">
        <v>4797</v>
      </c>
      <c r="B764" s="6">
        <v>43563</v>
      </c>
      <c r="C764" s="2" t="s">
        <v>4798</v>
      </c>
      <c r="D764" t="s">
        <v>6160</v>
      </c>
      <c r="E764" s="2">
        <v>5</v>
      </c>
      <c r="F764" s="2" t="str">
        <f>_xlfn.XLOOKUP(C764,customers!$A$1:$A$1001,customers!$B$1:$B$1001,,0,1)</f>
        <v>Sharona Danilchik</v>
      </c>
      <c r="G764" s="2" t="str">
        <f>IF((_xlfn.XLOOKUP(C764,customers!$A$2:$A$1001,customers!$C$2:$C$1001,,,)=0),"",(_xlfn.XLOOKUP(C764,customers!$A$2:$A$1001,customers!$C$2:$C$1001,,0,)))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11"/>
        <v>43.650000000000006</v>
      </c>
      <c r="N764" t="str" cm="1">
        <f t="array" ref="N764">_xlfn.IFS(I764="rob","Robusta",I764="exc","Excesla",I764="ara","Arabica",I764="lib","Liberica")</f>
        <v>Liberica</v>
      </c>
      <c r="O764" t="str" cm="1">
        <f t="array" ref="O764">_xlfn.IFS(J764="m","Medium",J764="l","Light",J764="d","Dark")</f>
        <v>Medium</v>
      </c>
      <c r="P764" t="str">
        <f>_xlfn.XLOOKUP(orders[[#This Row],[Customer ID]],customers!$A$2:$A$1001,customers!$I$2:$I$1001,,0)</f>
        <v>No</v>
      </c>
    </row>
    <row r="765" spans="1:16" x14ac:dyDescent="0.3">
      <c r="A765" s="2" t="s">
        <v>4803</v>
      </c>
      <c r="B765" s="6">
        <v>44587</v>
      </c>
      <c r="C765" s="2" t="s">
        <v>4804</v>
      </c>
      <c r="D765" t="s">
        <v>6180</v>
      </c>
      <c r="E765" s="2">
        <v>3</v>
      </c>
      <c r="F765" s="2" t="str">
        <f>_xlfn.XLOOKUP(C765,customers!$A$1:$A$1001,customers!$B$1:$B$1001,,0,1)</f>
        <v>Sarajane Potter</v>
      </c>
      <c r="G765" s="2" t="str">
        <f>IF((_xlfn.XLOOKUP(C765,customers!$A$2:$A$1001,customers!$C$2:$C$1001,,,)=0),"",(_xlfn.XLOOKUP(C765,customers!$A$2:$A$1001,customers!$C$2:$C$1001,,0,)))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11"/>
        <v>23.31</v>
      </c>
      <c r="N765" t="str" cm="1">
        <f t="array" ref="N765">_xlfn.IFS(I765="rob","Robusta",I765="exc","Excesla",I765="ara","Arabica",I765="lib","Liberica")</f>
        <v>Arabica</v>
      </c>
      <c r="O765" t="str" cm="1">
        <f t="array" ref="O765">_xlfn.IFS(J765="m","Medium",J765="l","Light",J765="d","Dark")</f>
        <v>Light</v>
      </c>
      <c r="P765" t="str">
        <f>_xlfn.XLOOKUP(orders[[#This Row],[Customer ID]],customers!$A$2:$A$1001,customers!$I$2:$I$1001,,0)</f>
        <v>No</v>
      </c>
    </row>
    <row r="766" spans="1:16" x14ac:dyDescent="0.3">
      <c r="A766" s="2" t="s">
        <v>4808</v>
      </c>
      <c r="B766" s="6">
        <v>43797</v>
      </c>
      <c r="C766" s="2" t="s">
        <v>4809</v>
      </c>
      <c r="D766" t="s">
        <v>6182</v>
      </c>
      <c r="E766" s="2">
        <v>6</v>
      </c>
      <c r="F766" s="2" t="str">
        <f>_xlfn.XLOOKUP(C766,customers!$A$1:$A$1001,customers!$B$1:$B$1001,,0,1)</f>
        <v>Bobby Folomkin</v>
      </c>
      <c r="G766" s="2" t="str">
        <f>IF((_xlfn.XLOOKUP(C766,customers!$A$2:$A$1001,customers!$C$2:$C$1001,,,)=0),"",(_xlfn.XLOOKUP(C766,customers!$A$2:$A$1001,customers!$C$2:$C$1001,,0,)))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11"/>
        <v>178.70999999999998</v>
      </c>
      <c r="N766" t="str" cm="1">
        <f t="array" ref="N766">_xlfn.IFS(I766="rob","Robusta",I766="exc","Excesla",I766="ara","Arabica",I766="lib","Liberica")</f>
        <v>Arabica</v>
      </c>
      <c r="O766" t="str" cm="1">
        <f t="array" ref="O766">_xlfn.IFS(J766="m","Medium",J766="l","Light",J766="d","Dark")</f>
        <v>Light</v>
      </c>
      <c r="P766" t="str">
        <f>_xlfn.XLOOKUP(orders[[#This Row],[Customer ID]],customers!$A$2:$A$1001,customers!$I$2:$I$1001,,0)</f>
        <v>Yes</v>
      </c>
    </row>
    <row r="767" spans="1:16" x14ac:dyDescent="0.3">
      <c r="A767" s="2" t="s">
        <v>4814</v>
      </c>
      <c r="B767" s="6">
        <v>43667</v>
      </c>
      <c r="C767" s="2" t="s">
        <v>4815</v>
      </c>
      <c r="D767" t="s">
        <v>6138</v>
      </c>
      <c r="E767" s="2">
        <v>6</v>
      </c>
      <c r="F767" s="2" t="str">
        <f>_xlfn.XLOOKUP(C767,customers!$A$1:$A$1001,customers!$B$1:$B$1001,,0,1)</f>
        <v>Rafferty Pursglove</v>
      </c>
      <c r="G767" s="2" t="str">
        <f>IF((_xlfn.XLOOKUP(C767,customers!$A$2:$A$1001,customers!$C$2:$C$1001,,,)=0),"",(_xlfn.XLOOKUP(C767,customers!$A$2:$A$1001,customers!$C$2:$C$1001,,0,)))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11"/>
        <v>59.699999999999996</v>
      </c>
      <c r="N767" t="str" cm="1">
        <f t="array" ref="N767">_xlfn.IFS(I767="rob","Robusta",I767="exc","Excesla",I767="ara","Arabica",I767="lib","Liberica")</f>
        <v>Robusta</v>
      </c>
      <c r="O767" t="str" cm="1">
        <f t="array" ref="O767">_xlfn.IFS(J767="m","Medium",J767="l","Light",J767="d","Dark")</f>
        <v>Medium</v>
      </c>
      <c r="P767" t="str">
        <f>_xlfn.XLOOKUP(orders[[#This Row],[Customer ID]],customers!$A$2:$A$1001,customers!$I$2:$I$1001,,0)</f>
        <v>Yes</v>
      </c>
    </row>
    <row r="768" spans="1:16" x14ac:dyDescent="0.3">
      <c r="A768" s="2" t="s">
        <v>4814</v>
      </c>
      <c r="B768" s="6">
        <v>43667</v>
      </c>
      <c r="C768" s="2" t="s">
        <v>4815</v>
      </c>
      <c r="D768" t="s">
        <v>6180</v>
      </c>
      <c r="E768" s="2">
        <v>2</v>
      </c>
      <c r="F768" s="2" t="str">
        <f>_xlfn.XLOOKUP(C768,customers!$A$1:$A$1001,customers!$B$1:$B$1001,,0,1)</f>
        <v>Rafferty Pursglove</v>
      </c>
      <c r="G768" s="2" t="str">
        <f>IF((_xlfn.XLOOKUP(C768,customers!$A$2:$A$1001,customers!$C$2:$C$1001,,,)=0),"",(_xlfn.XLOOKUP(C768,customers!$A$2:$A$1001,customers!$C$2:$C$1001,,0,)))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11"/>
        <v>15.54</v>
      </c>
      <c r="N768" t="str" cm="1">
        <f t="array" ref="N768">_xlfn.IFS(I768="rob","Robusta",I768="exc","Excesla",I768="ara","Arabica",I768="lib","Liberica")</f>
        <v>Arabica</v>
      </c>
      <c r="O768" t="str" cm="1">
        <f t="array" ref="O768">_xlfn.IFS(J768="m","Medium",J768="l","Light",J768="d","Dark")</f>
        <v>Light</v>
      </c>
      <c r="P768" t="str">
        <f>_xlfn.XLOOKUP(orders[[#This Row],[Customer ID]],customers!$A$2:$A$1001,customers!$I$2:$I$1001,,0)</f>
        <v>Yes</v>
      </c>
    </row>
    <row r="769" spans="1:16" x14ac:dyDescent="0.3">
      <c r="A769" s="2" t="s">
        <v>4825</v>
      </c>
      <c r="B769" s="6">
        <v>44267</v>
      </c>
      <c r="C769" s="2" t="s">
        <v>4759</v>
      </c>
      <c r="D769" t="s">
        <v>6182</v>
      </c>
      <c r="E769" s="2">
        <v>3</v>
      </c>
      <c r="F769" s="2" t="str">
        <f>_xlfn.XLOOKUP(C769,customers!$A$1:$A$1001,customers!$B$1:$B$1001,,0,1)</f>
        <v>Foster Constance</v>
      </c>
      <c r="G769" s="2" t="str">
        <f>IF((_xlfn.XLOOKUP(C769,customers!$A$2:$A$1001,customers!$C$2:$C$1001,,,)=0),"",(_xlfn.XLOOKUP(C769,customers!$A$2:$A$1001,customers!$C$2:$C$1001,,0,)))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11"/>
        <v>89.35499999999999</v>
      </c>
      <c r="N769" t="str" cm="1">
        <f t="array" ref="N769">_xlfn.IFS(I769="rob","Robusta",I769="exc","Excesla",I769="ara","Arabica",I769="lib","Liberica")</f>
        <v>Arabica</v>
      </c>
      <c r="O769" t="str" cm="1">
        <f t="array" ref="O769">_xlfn.IFS(J769="m","Medium",J769="l","Light",J769="d","Dark")</f>
        <v>Light</v>
      </c>
      <c r="P769" t="str">
        <f>_xlfn.XLOOKUP(orders[[#This Row],[Customer ID]],customers!$A$2:$A$1001,customers!$I$2:$I$1001,,0)</f>
        <v>No</v>
      </c>
    </row>
    <row r="770" spans="1:16" x14ac:dyDescent="0.3">
      <c r="A770" s="2" t="s">
        <v>4831</v>
      </c>
      <c r="B770" s="6">
        <v>44562</v>
      </c>
      <c r="C770" s="2" t="s">
        <v>4759</v>
      </c>
      <c r="D770" t="s">
        <v>6179</v>
      </c>
      <c r="E770" s="2">
        <v>2</v>
      </c>
      <c r="F770" s="2" t="str">
        <f>_xlfn.XLOOKUP(C770,customers!$A$1:$A$1001,customers!$B$1:$B$1001,,0,1)</f>
        <v>Foster Constance</v>
      </c>
      <c r="G770" s="2" t="str">
        <f>IF((_xlfn.XLOOKUP(C770,customers!$A$2:$A$1001,customers!$C$2:$C$1001,,,)=0),"",(_xlfn.XLOOKUP(C770,customers!$A$2:$A$1001,customers!$C$2:$C$1001,,0,)))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11"/>
        <v>23.9</v>
      </c>
      <c r="N770" t="str" cm="1">
        <f t="array" ref="N770">_xlfn.IFS(I770="rob","Robusta",I770="exc","Excesla",I770="ara","Arabica",I770="lib","Liberica")</f>
        <v>Robusta</v>
      </c>
      <c r="O770" t="str" cm="1">
        <f t="array" ref="O770">_xlfn.IFS(J770="m","Medium",J770="l","Light",J770="d","Dark")</f>
        <v>Light</v>
      </c>
      <c r="P770" t="str">
        <f>_xlfn.XLOOKUP(orders[[#This Row],[Customer ID]],customers!$A$2:$A$1001,customers!$I$2:$I$1001,,0)</f>
        <v>No</v>
      </c>
    </row>
    <row r="771" spans="1:16" x14ac:dyDescent="0.3">
      <c r="A771" s="2" t="s">
        <v>4836</v>
      </c>
      <c r="B771" s="6">
        <v>43912</v>
      </c>
      <c r="C771" s="2" t="s">
        <v>4837</v>
      </c>
      <c r="D771" t="s">
        <v>6151</v>
      </c>
      <c r="E771" s="2">
        <v>6</v>
      </c>
      <c r="F771" s="2" t="str">
        <f>_xlfn.XLOOKUP(C771,customers!$A$1:$A$1001,customers!$B$1:$B$1001,,0,1)</f>
        <v>Dalia Eburah</v>
      </c>
      <c r="G771" s="2" t="str">
        <f>IF((_xlfn.XLOOKUP(C771,customers!$A$2:$A$1001,customers!$C$2:$C$1001,,,)=0),"",(_xlfn.XLOOKUP(C771,customers!$A$2:$A$1001,customers!$C$2:$C$1001,,0,)))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12">L771*E771</f>
        <v>137.31</v>
      </c>
      <c r="N771" t="str" cm="1">
        <f t="array" ref="N771">_xlfn.IFS(I771="rob","Robusta",I771="exc","Excesla",I771="ara","Arabica",I771="lib","Liberica")</f>
        <v>Robusta</v>
      </c>
      <c r="O771" t="str" cm="1">
        <f t="array" ref="O771">_xlfn.IFS(J771="m","Medium",J771="l","Light",J771="d","Dark")</f>
        <v>Medium</v>
      </c>
      <c r="P771" t="str">
        <f>_xlfn.XLOOKUP(orders[[#This Row],[Customer ID]],customers!$A$2:$A$1001,customers!$I$2:$I$1001,,0)</f>
        <v>No</v>
      </c>
    </row>
    <row r="772" spans="1:16" x14ac:dyDescent="0.3">
      <c r="A772" s="2" t="s">
        <v>4842</v>
      </c>
      <c r="B772" s="6">
        <v>44092</v>
      </c>
      <c r="C772" s="2" t="s">
        <v>4843</v>
      </c>
      <c r="D772" t="s">
        <v>6147</v>
      </c>
      <c r="E772" s="2">
        <v>1</v>
      </c>
      <c r="F772" s="2" t="str">
        <f>_xlfn.XLOOKUP(C772,customers!$A$1:$A$1001,customers!$B$1:$B$1001,,0,1)</f>
        <v>Martie Brimilcombe</v>
      </c>
      <c r="G772" s="2" t="str">
        <f>IF((_xlfn.XLOOKUP(C772,customers!$A$2:$A$1001,customers!$C$2:$C$1001,,,)=0),"",(_xlfn.XLOOKUP(C772,customers!$A$2:$A$1001,customers!$C$2:$C$1001,,0,)))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12"/>
        <v>9.9499999999999993</v>
      </c>
      <c r="N772" t="str" cm="1">
        <f t="array" ref="N772">_xlfn.IFS(I772="rob","Robusta",I772="exc","Excesla",I772="ara","Arabica",I772="lib","Liberica")</f>
        <v>Arabica</v>
      </c>
      <c r="O772" t="str" cm="1">
        <f t="array" ref="O772">_xlfn.IFS(J772="m","Medium",J772="l","Light",J772="d","Dark")</f>
        <v>Dark</v>
      </c>
      <c r="P772" t="str">
        <f>_xlfn.XLOOKUP(orders[[#This Row],[Customer ID]],customers!$A$2:$A$1001,customers!$I$2:$I$1001,,0)</f>
        <v>No</v>
      </c>
    </row>
    <row r="773" spans="1:16" x14ac:dyDescent="0.3">
      <c r="A773" s="2" t="s">
        <v>4847</v>
      </c>
      <c r="B773" s="6">
        <v>43468</v>
      </c>
      <c r="C773" s="2" t="s">
        <v>4848</v>
      </c>
      <c r="D773" t="s">
        <v>6173</v>
      </c>
      <c r="E773" s="2">
        <v>3</v>
      </c>
      <c r="F773" s="2" t="str">
        <f>_xlfn.XLOOKUP(C773,customers!$A$1:$A$1001,customers!$B$1:$B$1001,,0,1)</f>
        <v>Suzanna Bollam</v>
      </c>
      <c r="G773" s="2" t="str">
        <f>IF((_xlfn.XLOOKUP(C773,customers!$A$2:$A$1001,customers!$C$2:$C$1001,,,)=0),"",(_xlfn.XLOOKUP(C773,customers!$A$2:$A$1001,customers!$C$2:$C$1001,,0,)))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12"/>
        <v>21.509999999999998</v>
      </c>
      <c r="N773" t="str" cm="1">
        <f t="array" ref="N773">_xlfn.IFS(I773="rob","Robusta",I773="exc","Excesla",I773="ara","Arabica",I773="lib","Liberica")</f>
        <v>Robusta</v>
      </c>
      <c r="O773" t="str" cm="1">
        <f t="array" ref="O773">_xlfn.IFS(J773="m","Medium",J773="l","Light",J773="d","Dark")</f>
        <v>Light</v>
      </c>
      <c r="P773" t="str">
        <f>_xlfn.XLOOKUP(orders[[#This Row],[Customer ID]],customers!$A$2:$A$1001,customers!$I$2:$I$1001,,0)</f>
        <v>No</v>
      </c>
    </row>
    <row r="774" spans="1:16" x14ac:dyDescent="0.3">
      <c r="A774" s="2" t="s">
        <v>4853</v>
      </c>
      <c r="B774" s="6">
        <v>44468</v>
      </c>
      <c r="C774" s="2" t="s">
        <v>4854</v>
      </c>
      <c r="D774" t="s">
        <v>6141</v>
      </c>
      <c r="E774" s="2">
        <v>6</v>
      </c>
      <c r="F774" s="2" t="str">
        <f>_xlfn.XLOOKUP(C774,customers!$A$1:$A$1001,customers!$B$1:$B$1001,,0,1)</f>
        <v>Mellisa Mebes</v>
      </c>
      <c r="G774" s="2" t="str">
        <f>IF((_xlfn.XLOOKUP(C774,customers!$A$2:$A$1001,customers!$C$2:$C$1001,,,)=0),"",(_xlfn.XLOOKUP(C774,customers!$A$2:$A$1001,customers!$C$2:$C$1001,,0,)))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12"/>
        <v>82.5</v>
      </c>
      <c r="N774" t="str" cm="1">
        <f t="array" ref="N774">_xlfn.IFS(I774="rob","Robusta",I774="exc","Excesla",I774="ara","Arabica",I774="lib","Liberica")</f>
        <v>Excesla</v>
      </c>
      <c r="O774" t="str" cm="1">
        <f t="array" ref="O774">_xlfn.IFS(J774="m","Medium",J774="l","Light",J774="d","Dark")</f>
        <v>Medium</v>
      </c>
      <c r="P774" t="str">
        <f>_xlfn.XLOOKUP(orders[[#This Row],[Customer ID]],customers!$A$2:$A$1001,customers!$I$2:$I$1001,,0)</f>
        <v>No</v>
      </c>
    </row>
    <row r="775" spans="1:16" x14ac:dyDescent="0.3">
      <c r="A775" s="2" t="s">
        <v>4858</v>
      </c>
      <c r="B775" s="6">
        <v>44488</v>
      </c>
      <c r="C775" s="2" t="s">
        <v>4859</v>
      </c>
      <c r="D775" t="s">
        <v>6159</v>
      </c>
      <c r="E775" s="2">
        <v>2</v>
      </c>
      <c r="F775" s="2" t="str">
        <f>_xlfn.XLOOKUP(C775,customers!$A$1:$A$1001,customers!$B$1:$B$1001,,0,1)</f>
        <v>Alva Filipczak</v>
      </c>
      <c r="G775" s="2" t="str">
        <f>IF((_xlfn.XLOOKUP(C775,customers!$A$2:$A$1001,customers!$C$2:$C$1001,,,)=0),"",(_xlfn.XLOOKUP(C775,customers!$A$2:$A$1001,customers!$C$2:$C$1001,,0,)))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12"/>
        <v>8.73</v>
      </c>
      <c r="N775" t="str" cm="1">
        <f t="array" ref="N775">_xlfn.IFS(I775="rob","Robusta",I775="exc","Excesla",I775="ara","Arabica",I775="lib","Liberica")</f>
        <v>Liberica</v>
      </c>
      <c r="O775" t="str" cm="1">
        <f t="array" ref="O775">_xlfn.IFS(J775="m","Medium",J775="l","Light",J775="d","Dark")</f>
        <v>Medium</v>
      </c>
      <c r="P775" t="str">
        <f>_xlfn.XLOOKUP(orders[[#This Row],[Customer ID]],customers!$A$2:$A$1001,customers!$I$2:$I$1001,,0)</f>
        <v>No</v>
      </c>
    </row>
    <row r="776" spans="1:16" x14ac:dyDescent="0.3">
      <c r="A776" s="2" t="s">
        <v>4864</v>
      </c>
      <c r="B776" s="6">
        <v>44756</v>
      </c>
      <c r="C776" s="2" t="s">
        <v>4865</v>
      </c>
      <c r="D776" t="s">
        <v>6138</v>
      </c>
      <c r="E776" s="2">
        <v>2</v>
      </c>
      <c r="F776" s="2" t="str">
        <f>_xlfn.XLOOKUP(C776,customers!$A$1:$A$1001,customers!$B$1:$B$1001,,0,1)</f>
        <v>Dorette Hinemoor</v>
      </c>
      <c r="G776" s="2" t="str">
        <f>IF((_xlfn.XLOOKUP(C776,customers!$A$2:$A$1001,customers!$C$2:$C$1001,,,)=0),"",(_xlfn.XLOOKUP(C776,customers!$A$2:$A$1001,customers!$C$2:$C$1001,,0,)))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12"/>
        <v>19.899999999999999</v>
      </c>
      <c r="N776" t="str" cm="1">
        <f t="array" ref="N776">_xlfn.IFS(I776="rob","Robusta",I776="exc","Excesla",I776="ara","Arabica",I776="lib","Liberica")</f>
        <v>Robusta</v>
      </c>
      <c r="O776" t="str" cm="1">
        <f t="array" ref="O776">_xlfn.IFS(J776="m","Medium",J776="l","Light",J776="d","Dark")</f>
        <v>Medium</v>
      </c>
      <c r="P776" t="str">
        <f>_xlfn.XLOOKUP(orders[[#This Row],[Customer ID]],customers!$A$2:$A$1001,customers!$I$2:$I$1001,,0)</f>
        <v>Yes</v>
      </c>
    </row>
    <row r="777" spans="1:16" x14ac:dyDescent="0.3">
      <c r="A777" s="2" t="s">
        <v>4869</v>
      </c>
      <c r="B777" s="6">
        <v>44396</v>
      </c>
      <c r="C777" s="2" t="s">
        <v>4870</v>
      </c>
      <c r="D777" t="s">
        <v>6176</v>
      </c>
      <c r="E777" s="2">
        <v>2</v>
      </c>
      <c r="F777" s="2" t="str">
        <f>_xlfn.XLOOKUP(C777,customers!$A$1:$A$1001,customers!$B$1:$B$1001,,0,1)</f>
        <v>Rhetta Elnaugh</v>
      </c>
      <c r="G777" s="2" t="str">
        <f>IF((_xlfn.XLOOKUP(C777,customers!$A$2:$A$1001,customers!$C$2:$C$1001,,,)=0),"",(_xlfn.XLOOKUP(C777,customers!$A$2:$A$1001,customers!$C$2:$C$1001,,0,)))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12"/>
        <v>17.82</v>
      </c>
      <c r="N777" t="str" cm="1">
        <f t="array" ref="N777">_xlfn.IFS(I777="rob","Robusta",I777="exc","Excesla",I777="ara","Arabica",I777="lib","Liberica")</f>
        <v>Excesla</v>
      </c>
      <c r="O777" t="str" cm="1">
        <f t="array" ref="O777">_xlfn.IFS(J777="m","Medium",J777="l","Light",J777="d","Dark")</f>
        <v>Light</v>
      </c>
      <c r="P777" t="str">
        <f>_xlfn.XLOOKUP(orders[[#This Row],[Customer ID]],customers!$A$2:$A$1001,customers!$I$2:$I$1001,,0)</f>
        <v>Yes</v>
      </c>
    </row>
    <row r="778" spans="1:16" x14ac:dyDescent="0.3">
      <c r="A778" s="2" t="s">
        <v>4875</v>
      </c>
      <c r="B778" s="6">
        <v>44540</v>
      </c>
      <c r="C778" s="2" t="s">
        <v>4876</v>
      </c>
      <c r="D778" t="s">
        <v>6157</v>
      </c>
      <c r="E778" s="2">
        <v>3</v>
      </c>
      <c r="F778" s="2" t="str">
        <f>_xlfn.XLOOKUP(C778,customers!$A$1:$A$1001,customers!$B$1:$B$1001,,0,1)</f>
        <v>Jule Deehan</v>
      </c>
      <c r="G778" s="2" t="str">
        <f>IF((_xlfn.XLOOKUP(C778,customers!$A$2:$A$1001,customers!$C$2:$C$1001,,,)=0),"",(_xlfn.XLOOKUP(C778,customers!$A$2:$A$1001,customers!$C$2:$C$1001,,0,)))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12"/>
        <v>20.25</v>
      </c>
      <c r="N778" t="str" cm="1">
        <f t="array" ref="N778">_xlfn.IFS(I778="rob","Robusta",I778="exc","Excesla",I778="ara","Arabica",I778="lib","Liberica")</f>
        <v>Arabica</v>
      </c>
      <c r="O778" t="str" cm="1">
        <f t="array" ref="O778">_xlfn.IFS(J778="m","Medium",J778="l","Light",J778="d","Dark")</f>
        <v>Medium</v>
      </c>
      <c r="P778" t="str">
        <f>_xlfn.XLOOKUP(orders[[#This Row],[Customer ID]],customers!$A$2:$A$1001,customers!$I$2:$I$1001,,0)</f>
        <v>No</v>
      </c>
    </row>
    <row r="779" spans="1:16" x14ac:dyDescent="0.3">
      <c r="A779" s="2" t="s">
        <v>4881</v>
      </c>
      <c r="B779" s="6">
        <v>43541</v>
      </c>
      <c r="C779" s="2" t="s">
        <v>4882</v>
      </c>
      <c r="D779" t="s">
        <v>6182</v>
      </c>
      <c r="E779" s="2">
        <v>2</v>
      </c>
      <c r="F779" s="2" t="str">
        <f>_xlfn.XLOOKUP(C779,customers!$A$1:$A$1001,customers!$B$1:$B$1001,,0,1)</f>
        <v>Janella Eden</v>
      </c>
      <c r="G779" s="2" t="str">
        <f>IF((_xlfn.XLOOKUP(C779,customers!$A$2:$A$1001,customers!$C$2:$C$1001,,,)=0),"",(_xlfn.XLOOKUP(C779,customers!$A$2:$A$1001,customers!$C$2:$C$1001,,0,)))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12"/>
        <v>59.569999999999993</v>
      </c>
      <c r="N779" t="str" cm="1">
        <f t="array" ref="N779">_xlfn.IFS(I779="rob","Robusta",I779="exc","Excesla",I779="ara","Arabica",I779="lib","Liberica")</f>
        <v>Arabica</v>
      </c>
      <c r="O779" t="str" cm="1">
        <f t="array" ref="O779">_xlfn.IFS(J779="m","Medium",J779="l","Light",J779="d","Dark")</f>
        <v>Light</v>
      </c>
      <c r="P779" t="str">
        <f>_xlfn.XLOOKUP(orders[[#This Row],[Customer ID]],customers!$A$2:$A$1001,customers!$I$2:$I$1001,,0)</f>
        <v>No</v>
      </c>
    </row>
    <row r="780" spans="1:16" x14ac:dyDescent="0.3">
      <c r="A780" s="2" t="s">
        <v>4886</v>
      </c>
      <c r="B780" s="6">
        <v>43889</v>
      </c>
      <c r="C780" s="2" t="s">
        <v>4933</v>
      </c>
      <c r="D780" t="s">
        <v>6161</v>
      </c>
      <c r="E780" s="2">
        <v>2</v>
      </c>
      <c r="F780" s="2" t="str">
        <f>_xlfn.XLOOKUP(C780,customers!$A$1:$A$1001,customers!$B$1:$B$1001,,0,1)</f>
        <v>Cam Jewster</v>
      </c>
      <c r="G780" s="2" t="str">
        <f>IF((_xlfn.XLOOKUP(C780,customers!$A$2:$A$1001,customers!$C$2:$C$1001,,,)=0),"",(_xlfn.XLOOKUP(C780,customers!$A$2:$A$1001,customers!$C$2:$C$1001,,0,)))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12"/>
        <v>19.02</v>
      </c>
      <c r="N780" t="str" cm="1">
        <f t="array" ref="N780">_xlfn.IFS(I780="rob","Robusta",I780="exc","Excesla",I780="ara","Arabica",I780="lib","Liberica")</f>
        <v>Liberica</v>
      </c>
      <c r="O780" t="str" cm="1">
        <f t="array" ref="O780">_xlfn.IFS(J780="m","Medium",J780="l","Light",J780="d","Dark")</f>
        <v>Light</v>
      </c>
      <c r="P780" t="str">
        <f>_xlfn.XLOOKUP(orders[[#This Row],[Customer ID]],customers!$A$2:$A$1001,customers!$I$2:$I$1001,,0)</f>
        <v>Yes</v>
      </c>
    </row>
    <row r="781" spans="1:16" x14ac:dyDescent="0.3">
      <c r="A781" s="2" t="s">
        <v>4892</v>
      </c>
      <c r="B781" s="6">
        <v>43985</v>
      </c>
      <c r="C781" s="2" t="s">
        <v>4893</v>
      </c>
      <c r="D781" t="s">
        <v>6143</v>
      </c>
      <c r="E781" s="2">
        <v>6</v>
      </c>
      <c r="F781" s="2" t="str">
        <f>_xlfn.XLOOKUP(C781,customers!$A$1:$A$1001,customers!$B$1:$B$1001,,0,1)</f>
        <v>Ugo Southerden</v>
      </c>
      <c r="G781" s="2" t="str">
        <f>IF((_xlfn.XLOOKUP(C781,customers!$A$2:$A$1001,customers!$C$2:$C$1001,,,)=0),"",(_xlfn.XLOOKUP(C781,customers!$A$2:$A$1001,customers!$C$2:$C$1001,,0,)))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12"/>
        <v>77.699999999999989</v>
      </c>
      <c r="N781" t="str" cm="1">
        <f t="array" ref="N781">_xlfn.IFS(I781="rob","Robusta",I781="exc","Excesla",I781="ara","Arabica",I781="lib","Liberica")</f>
        <v>Liberica</v>
      </c>
      <c r="O781" t="str" cm="1">
        <f t="array" ref="O781">_xlfn.IFS(J781="m","Medium",J781="l","Light",J781="d","Dark")</f>
        <v>Dark</v>
      </c>
      <c r="P781" t="str">
        <f>_xlfn.XLOOKUP(orders[[#This Row],[Customer ID]],customers!$A$2:$A$1001,customers!$I$2:$I$1001,,0)</f>
        <v>Yes</v>
      </c>
    </row>
    <row r="782" spans="1:16" x14ac:dyDescent="0.3">
      <c r="A782" s="2" t="s">
        <v>4898</v>
      </c>
      <c r="B782" s="6">
        <v>43883</v>
      </c>
      <c r="C782" s="2" t="s">
        <v>4899</v>
      </c>
      <c r="D782" t="s">
        <v>6141</v>
      </c>
      <c r="E782" s="2">
        <v>3</v>
      </c>
      <c r="F782" s="2" t="str">
        <f>_xlfn.XLOOKUP(C782,customers!$A$1:$A$1001,customers!$B$1:$B$1001,,0,1)</f>
        <v>Verne Dunkerley</v>
      </c>
      <c r="G782" s="2" t="str">
        <f>IF((_xlfn.XLOOKUP(C782,customers!$A$2:$A$1001,customers!$C$2:$C$1001,,,)=0),"",(_xlfn.XLOOKUP(C782,customers!$A$2:$A$1001,customers!$C$2:$C$1001,,0,)))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12"/>
        <v>41.25</v>
      </c>
      <c r="N782" t="str" cm="1">
        <f t="array" ref="N782">_xlfn.IFS(I782="rob","Robusta",I782="exc","Excesla",I782="ara","Arabica",I782="lib","Liberica")</f>
        <v>Excesla</v>
      </c>
      <c r="O782" t="str" cm="1">
        <f t="array" ref="O782">_xlfn.IFS(J782="m","Medium",J782="l","Light",J782="d","Dark")</f>
        <v>Medium</v>
      </c>
      <c r="P782" t="str">
        <f>_xlfn.XLOOKUP(orders[[#This Row],[Customer ID]],customers!$A$2:$A$1001,customers!$I$2:$I$1001,,0)</f>
        <v>No</v>
      </c>
    </row>
    <row r="783" spans="1:16" x14ac:dyDescent="0.3">
      <c r="A783" s="2" t="s">
        <v>4903</v>
      </c>
      <c r="B783" s="6">
        <v>43778</v>
      </c>
      <c r="C783" s="2" t="s">
        <v>4904</v>
      </c>
      <c r="D783" t="s">
        <v>6164</v>
      </c>
      <c r="E783" s="2">
        <v>4</v>
      </c>
      <c r="F783" s="2" t="str">
        <f>_xlfn.XLOOKUP(C783,customers!$A$1:$A$1001,customers!$B$1:$B$1001,,0,1)</f>
        <v>Lacee Burtenshaw</v>
      </c>
      <c r="G783" s="2" t="str">
        <f>IF((_xlfn.XLOOKUP(C783,customers!$A$2:$A$1001,customers!$C$2:$C$1001,,,)=0),"",(_xlfn.XLOOKUP(C783,customers!$A$2:$A$1001,customers!$C$2:$C$1001,,0,)))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12"/>
        <v>145.82</v>
      </c>
      <c r="N783" t="str" cm="1">
        <f t="array" ref="N783">_xlfn.IFS(I783="rob","Robusta",I783="exc","Excesla",I783="ara","Arabica",I783="lib","Liberica")</f>
        <v>Liberica</v>
      </c>
      <c r="O783" t="str" cm="1">
        <f t="array" ref="O783">_xlfn.IFS(J783="m","Medium",J783="l","Light",J783="d","Dark")</f>
        <v>Light</v>
      </c>
      <c r="P783" t="str">
        <f>_xlfn.XLOOKUP(orders[[#This Row],[Customer ID]],customers!$A$2:$A$1001,customers!$I$2:$I$1001,,0)</f>
        <v>No</v>
      </c>
    </row>
    <row r="784" spans="1:16" x14ac:dyDescent="0.3">
      <c r="A784" s="2" t="s">
        <v>4909</v>
      </c>
      <c r="B784" s="6">
        <v>43897</v>
      </c>
      <c r="C784" s="2" t="s">
        <v>4910</v>
      </c>
      <c r="D784" t="s">
        <v>6184</v>
      </c>
      <c r="E784" s="2">
        <v>6</v>
      </c>
      <c r="F784" s="2" t="str">
        <f>_xlfn.XLOOKUP(C784,customers!$A$1:$A$1001,customers!$B$1:$B$1001,,0,1)</f>
        <v>Adorne Gregoratti</v>
      </c>
      <c r="G784" s="2" t="str">
        <f>IF((_xlfn.XLOOKUP(C784,customers!$A$2:$A$1001,customers!$C$2:$C$1001,,,)=0),"",(_xlfn.XLOOKUP(C784,customers!$A$2:$A$1001,customers!$C$2:$C$1001,,0,)))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12"/>
        <v>26.73</v>
      </c>
      <c r="N784" t="str" cm="1">
        <f t="array" ref="N784">_xlfn.IFS(I784="rob","Robusta",I784="exc","Excesla",I784="ara","Arabica",I784="lib","Liberica")</f>
        <v>Excesla</v>
      </c>
      <c r="O784" t="str" cm="1">
        <f t="array" ref="O784">_xlfn.IFS(J784="m","Medium",J784="l","Light",J784="d","Dark")</f>
        <v>Light</v>
      </c>
      <c r="P784" t="str">
        <f>_xlfn.XLOOKUP(orders[[#This Row],[Customer ID]],customers!$A$2:$A$1001,customers!$I$2:$I$1001,,0)</f>
        <v>No</v>
      </c>
    </row>
    <row r="785" spans="1:16" x14ac:dyDescent="0.3">
      <c r="A785" s="2" t="s">
        <v>4915</v>
      </c>
      <c r="B785" s="6">
        <v>44312</v>
      </c>
      <c r="C785" s="2" t="s">
        <v>4916</v>
      </c>
      <c r="D785" t="s">
        <v>6160</v>
      </c>
      <c r="E785" s="2">
        <v>5</v>
      </c>
      <c r="F785" s="2" t="str">
        <f>_xlfn.XLOOKUP(C785,customers!$A$1:$A$1001,customers!$B$1:$B$1001,,0,1)</f>
        <v>Chris Croster</v>
      </c>
      <c r="G785" s="2" t="str">
        <f>IF((_xlfn.XLOOKUP(C785,customers!$A$2:$A$1001,customers!$C$2:$C$1001,,,)=0),"",(_xlfn.XLOOKUP(C785,customers!$A$2:$A$1001,customers!$C$2:$C$1001,,0,)))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12"/>
        <v>43.650000000000006</v>
      </c>
      <c r="N785" t="str" cm="1">
        <f t="array" ref="N785">_xlfn.IFS(I785="rob","Robusta",I785="exc","Excesla",I785="ara","Arabica",I785="lib","Liberica")</f>
        <v>Liberica</v>
      </c>
      <c r="O785" t="str" cm="1">
        <f t="array" ref="O785">_xlfn.IFS(J785="m","Medium",J785="l","Light",J785="d","Dark")</f>
        <v>Medium</v>
      </c>
      <c r="P785" t="str">
        <f>_xlfn.XLOOKUP(orders[[#This Row],[Customer ID]],customers!$A$2:$A$1001,customers!$I$2:$I$1001,,0)</f>
        <v>Yes</v>
      </c>
    </row>
    <row r="786" spans="1:16" x14ac:dyDescent="0.3">
      <c r="A786" s="2" t="s">
        <v>4921</v>
      </c>
      <c r="B786" s="6">
        <v>44511</v>
      </c>
      <c r="C786" s="2" t="s">
        <v>4922</v>
      </c>
      <c r="D786" t="s">
        <v>6170</v>
      </c>
      <c r="E786" s="2">
        <v>2</v>
      </c>
      <c r="F786" s="2" t="str">
        <f>_xlfn.XLOOKUP(C786,customers!$A$1:$A$1001,customers!$B$1:$B$1001,,0,1)</f>
        <v>Graeme Whitehead</v>
      </c>
      <c r="G786" s="2" t="str">
        <f>IF((_xlfn.XLOOKUP(C786,customers!$A$2:$A$1001,customers!$C$2:$C$1001,,,)=0),"",(_xlfn.XLOOKUP(C786,customers!$A$2:$A$1001,customers!$C$2:$C$1001,,0,)))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12"/>
        <v>31.7</v>
      </c>
      <c r="N786" t="str" cm="1">
        <f t="array" ref="N786">_xlfn.IFS(I786="rob","Robusta",I786="exc","Excesla",I786="ara","Arabica",I786="lib","Liberica")</f>
        <v>Liberica</v>
      </c>
      <c r="O786" t="str" cm="1">
        <f t="array" ref="O786">_xlfn.IFS(J786="m","Medium",J786="l","Light",J786="d","Dark")</f>
        <v>Light</v>
      </c>
      <c r="P786" t="str">
        <f>_xlfn.XLOOKUP(orders[[#This Row],[Customer ID]],customers!$A$2:$A$1001,customers!$I$2:$I$1001,,0)</f>
        <v>No</v>
      </c>
    </row>
    <row r="787" spans="1:16" x14ac:dyDescent="0.3">
      <c r="A787" s="2" t="s">
        <v>4926</v>
      </c>
      <c r="B787" s="6">
        <v>44362</v>
      </c>
      <c r="C787" s="2" t="s">
        <v>4927</v>
      </c>
      <c r="D787" t="s">
        <v>6168</v>
      </c>
      <c r="E787" s="2">
        <v>1</v>
      </c>
      <c r="F787" s="2" t="str">
        <f>_xlfn.XLOOKUP(C787,customers!$A$1:$A$1001,customers!$B$1:$B$1001,,0,1)</f>
        <v>Haslett Jodrelle</v>
      </c>
      <c r="G787" s="2" t="str">
        <f>IF((_xlfn.XLOOKUP(C787,customers!$A$2:$A$1001,customers!$C$2:$C$1001,,,)=0),"",(_xlfn.XLOOKUP(C787,customers!$A$2:$A$1001,customers!$C$2:$C$1001,,0,)))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12"/>
        <v>22.884999999999998</v>
      </c>
      <c r="N787" t="str" cm="1">
        <f t="array" ref="N787">_xlfn.IFS(I787="rob","Robusta",I787="exc","Excesla",I787="ara","Arabica",I787="lib","Liberica")</f>
        <v>Arabica</v>
      </c>
      <c r="O787" t="str" cm="1">
        <f t="array" ref="O787">_xlfn.IFS(J787="m","Medium",J787="l","Light",J787="d","Dark")</f>
        <v>Dark</v>
      </c>
      <c r="P787" t="str">
        <f>_xlfn.XLOOKUP(orders[[#This Row],[Customer ID]],customers!$A$2:$A$1001,customers!$I$2:$I$1001,,0)</f>
        <v>No</v>
      </c>
    </row>
    <row r="788" spans="1:16" x14ac:dyDescent="0.3">
      <c r="A788" s="2" t="s">
        <v>4932</v>
      </c>
      <c r="B788" s="6">
        <v>43888</v>
      </c>
      <c r="C788" s="2" t="s">
        <v>4933</v>
      </c>
      <c r="D788" t="s">
        <v>6185</v>
      </c>
      <c r="E788" s="2">
        <v>1</v>
      </c>
      <c r="F788" s="2" t="str">
        <f>_xlfn.XLOOKUP(C788,customers!$A$1:$A$1001,customers!$B$1:$B$1001,,0,1)</f>
        <v>Cam Jewster</v>
      </c>
      <c r="G788" s="2" t="str">
        <f>IF((_xlfn.XLOOKUP(C788,customers!$A$2:$A$1001,customers!$C$2:$C$1001,,,)=0),"",(_xlfn.XLOOKUP(C788,customers!$A$2:$A$1001,customers!$C$2:$C$1001,,0,)))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12"/>
        <v>27.945</v>
      </c>
      <c r="N788" t="str" cm="1">
        <f t="array" ref="N788">_xlfn.IFS(I788="rob","Robusta",I788="exc","Excesla",I788="ara","Arabica",I788="lib","Liberica")</f>
        <v>Excesla</v>
      </c>
      <c r="O788" t="str" cm="1">
        <f t="array" ref="O788">_xlfn.IFS(J788="m","Medium",J788="l","Light",J788="d","Dark")</f>
        <v>Dark</v>
      </c>
      <c r="P788" t="str">
        <f>_xlfn.XLOOKUP(orders[[#This Row],[Customer ID]],customers!$A$2:$A$1001,customers!$I$2:$I$1001,,0)</f>
        <v>Yes</v>
      </c>
    </row>
    <row r="789" spans="1:16" x14ac:dyDescent="0.3">
      <c r="A789" s="2" t="s">
        <v>4938</v>
      </c>
      <c r="B789" s="6">
        <v>44305</v>
      </c>
      <c r="C789" s="2" t="s">
        <v>4939</v>
      </c>
      <c r="D789" t="s">
        <v>6141</v>
      </c>
      <c r="E789" s="2">
        <v>6</v>
      </c>
      <c r="F789" s="2" t="str">
        <f>_xlfn.XLOOKUP(C789,customers!$A$1:$A$1001,customers!$B$1:$B$1001,,0,1)</f>
        <v>Beryl Osborn</v>
      </c>
      <c r="G789" s="2" t="str">
        <f>IF((_xlfn.XLOOKUP(C789,customers!$A$2:$A$1001,customers!$C$2:$C$1001,,,)=0),"",(_xlfn.XLOOKUP(C789,customers!$A$2:$A$1001,customers!$C$2:$C$1001,,0,)))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12"/>
        <v>82.5</v>
      </c>
      <c r="N789" t="str" cm="1">
        <f t="array" ref="N789">_xlfn.IFS(I789="rob","Robusta",I789="exc","Excesla",I789="ara","Arabica",I789="lib","Liberica")</f>
        <v>Excesla</v>
      </c>
      <c r="O789" t="str" cm="1">
        <f t="array" ref="O789">_xlfn.IFS(J789="m","Medium",J789="l","Light",J789="d","Dark")</f>
        <v>Medium</v>
      </c>
      <c r="P789" t="str">
        <f>_xlfn.XLOOKUP(orders[[#This Row],[Customer ID]],customers!$A$2:$A$1001,customers!$I$2:$I$1001,,0)</f>
        <v>Yes</v>
      </c>
    </row>
    <row r="790" spans="1:16" x14ac:dyDescent="0.3">
      <c r="A790" s="2" t="s">
        <v>4943</v>
      </c>
      <c r="B790" s="6">
        <v>44771</v>
      </c>
      <c r="C790" s="2" t="s">
        <v>4944</v>
      </c>
      <c r="D790" t="s">
        <v>6151</v>
      </c>
      <c r="E790" s="2">
        <v>2</v>
      </c>
      <c r="F790" s="2" t="str">
        <f>_xlfn.XLOOKUP(C790,customers!$A$1:$A$1001,customers!$B$1:$B$1001,,0,1)</f>
        <v>Kaela Nottram</v>
      </c>
      <c r="G790" s="2" t="str">
        <f>IF((_xlfn.XLOOKUP(C790,customers!$A$2:$A$1001,customers!$C$2:$C$1001,,,)=0),"",(_xlfn.XLOOKUP(C790,customers!$A$2:$A$1001,customers!$C$2:$C$1001,,0,)))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12"/>
        <v>45.769999999999996</v>
      </c>
      <c r="N790" t="str" cm="1">
        <f t="array" ref="N790">_xlfn.IFS(I790="rob","Robusta",I790="exc","Excesla",I790="ara","Arabica",I790="lib","Liberica")</f>
        <v>Robusta</v>
      </c>
      <c r="O790" t="str" cm="1">
        <f t="array" ref="O790">_xlfn.IFS(J790="m","Medium",J790="l","Light",J790="d","Dark")</f>
        <v>Medium</v>
      </c>
      <c r="P790" t="str">
        <f>_xlfn.XLOOKUP(orders[[#This Row],[Customer ID]],customers!$A$2:$A$1001,customers!$I$2:$I$1001,,0)</f>
        <v>Yes</v>
      </c>
    </row>
    <row r="791" spans="1:16" x14ac:dyDescent="0.3">
      <c r="A791" s="2" t="s">
        <v>4949</v>
      </c>
      <c r="B791" s="6">
        <v>43485</v>
      </c>
      <c r="C791" s="2" t="s">
        <v>4950</v>
      </c>
      <c r="D791" t="s">
        <v>6140</v>
      </c>
      <c r="E791" s="2">
        <v>6</v>
      </c>
      <c r="F791" s="2" t="str">
        <f>_xlfn.XLOOKUP(C791,customers!$A$1:$A$1001,customers!$B$1:$B$1001,,0,1)</f>
        <v>Nobe Buney</v>
      </c>
      <c r="G791" s="2" t="str">
        <f>IF((_xlfn.XLOOKUP(C791,customers!$A$2:$A$1001,customers!$C$2:$C$1001,,,)=0),"",(_xlfn.XLOOKUP(C791,customers!$A$2:$A$1001,customers!$C$2:$C$1001,,0,)))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12"/>
        <v>77.699999999999989</v>
      </c>
      <c r="N791" t="str" cm="1">
        <f t="array" ref="N791">_xlfn.IFS(I791="rob","Robusta",I791="exc","Excesla",I791="ara","Arabica",I791="lib","Liberica")</f>
        <v>Arabica</v>
      </c>
      <c r="O791" t="str" cm="1">
        <f t="array" ref="O791">_xlfn.IFS(J791="m","Medium",J791="l","Light",J791="d","Dark")</f>
        <v>Light</v>
      </c>
      <c r="P791" t="str">
        <f>_xlfn.XLOOKUP(orders[[#This Row],[Customer ID]],customers!$A$2:$A$1001,customers!$I$2:$I$1001,,0)</f>
        <v>No</v>
      </c>
    </row>
    <row r="792" spans="1:16" x14ac:dyDescent="0.3">
      <c r="A792" s="2" t="s">
        <v>4955</v>
      </c>
      <c r="B792" s="6">
        <v>44613</v>
      </c>
      <c r="C792" s="2" t="s">
        <v>4956</v>
      </c>
      <c r="D792" t="s">
        <v>6180</v>
      </c>
      <c r="E792" s="2">
        <v>3</v>
      </c>
      <c r="F792" s="2" t="str">
        <f>_xlfn.XLOOKUP(C792,customers!$A$1:$A$1001,customers!$B$1:$B$1001,,0,1)</f>
        <v>Silvan McShea</v>
      </c>
      <c r="G792" s="2" t="str">
        <f>IF((_xlfn.XLOOKUP(C792,customers!$A$2:$A$1001,customers!$C$2:$C$1001,,,)=0),"",(_xlfn.XLOOKUP(C792,customers!$A$2:$A$1001,customers!$C$2:$C$1001,,0,)))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12"/>
        <v>23.31</v>
      </c>
      <c r="N792" t="str" cm="1">
        <f t="array" ref="N792">_xlfn.IFS(I792="rob","Robusta",I792="exc","Excesla",I792="ara","Arabica",I792="lib","Liberica")</f>
        <v>Arabica</v>
      </c>
      <c r="O792" t="str" cm="1">
        <f t="array" ref="O792">_xlfn.IFS(J792="m","Medium",J792="l","Light",J792="d","Dark")</f>
        <v>Light</v>
      </c>
      <c r="P792" t="str">
        <f>_xlfn.XLOOKUP(orders[[#This Row],[Customer ID]],customers!$A$2:$A$1001,customers!$I$2:$I$1001,,0)</f>
        <v>No</v>
      </c>
    </row>
    <row r="793" spans="1:16" x14ac:dyDescent="0.3">
      <c r="A793" s="2" t="s">
        <v>4961</v>
      </c>
      <c r="B793" s="6">
        <v>43954</v>
      </c>
      <c r="C793" s="2" t="s">
        <v>4962</v>
      </c>
      <c r="D793" t="s">
        <v>6145</v>
      </c>
      <c r="E793" s="2">
        <v>5</v>
      </c>
      <c r="F793" s="2" t="str">
        <f>_xlfn.XLOOKUP(C793,customers!$A$1:$A$1001,customers!$B$1:$B$1001,,0,1)</f>
        <v>Karylin Huddart</v>
      </c>
      <c r="G793" s="2" t="str">
        <f>IF((_xlfn.XLOOKUP(C793,customers!$A$2:$A$1001,customers!$C$2:$C$1001,,,)=0),"",(_xlfn.XLOOKUP(C793,customers!$A$2:$A$1001,customers!$C$2:$C$1001,,0,)))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12"/>
        <v>23.774999999999999</v>
      </c>
      <c r="N793" t="str" cm="1">
        <f t="array" ref="N793">_xlfn.IFS(I793="rob","Robusta",I793="exc","Excesla",I793="ara","Arabica",I793="lib","Liberica")</f>
        <v>Liberica</v>
      </c>
      <c r="O793" t="str" cm="1">
        <f t="array" ref="O793">_xlfn.IFS(J793="m","Medium",J793="l","Light",J793="d","Dark")</f>
        <v>Light</v>
      </c>
      <c r="P793" t="str">
        <f>_xlfn.XLOOKUP(orders[[#This Row],[Customer ID]],customers!$A$2:$A$1001,customers!$I$2:$I$1001,,0)</f>
        <v>Yes</v>
      </c>
    </row>
    <row r="794" spans="1:16" x14ac:dyDescent="0.3">
      <c r="A794" s="2" t="s">
        <v>4967</v>
      </c>
      <c r="B794" s="6">
        <v>43545</v>
      </c>
      <c r="C794" s="2" t="s">
        <v>4968</v>
      </c>
      <c r="D794" t="s">
        <v>6160</v>
      </c>
      <c r="E794" s="2">
        <v>6</v>
      </c>
      <c r="F794" s="2" t="str">
        <f>_xlfn.XLOOKUP(C794,customers!$A$1:$A$1001,customers!$B$1:$B$1001,,0,1)</f>
        <v>Jereme Gippes</v>
      </c>
      <c r="G794" s="2" t="str">
        <f>IF((_xlfn.XLOOKUP(C794,customers!$A$2:$A$1001,customers!$C$2:$C$1001,,,)=0),"",(_xlfn.XLOOKUP(C794,customers!$A$2:$A$1001,customers!$C$2:$C$1001,,0,)))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12"/>
        <v>52.38</v>
      </c>
      <c r="N794" t="str" cm="1">
        <f t="array" ref="N794">_xlfn.IFS(I794="rob","Robusta",I794="exc","Excesla",I794="ara","Arabica",I794="lib","Liberica")</f>
        <v>Liberica</v>
      </c>
      <c r="O794" t="str" cm="1">
        <f t="array" ref="O794">_xlfn.IFS(J794="m","Medium",J794="l","Light",J794="d","Dark")</f>
        <v>Medium</v>
      </c>
      <c r="P794" t="str">
        <f>_xlfn.XLOOKUP(orders[[#This Row],[Customer ID]],customers!$A$2:$A$1001,customers!$I$2:$I$1001,,0)</f>
        <v>Yes</v>
      </c>
    </row>
    <row r="795" spans="1:16" x14ac:dyDescent="0.3">
      <c r="A795" s="2" t="s">
        <v>4973</v>
      </c>
      <c r="B795" s="6">
        <v>43629</v>
      </c>
      <c r="C795" s="2" t="s">
        <v>4974</v>
      </c>
      <c r="D795" t="s">
        <v>6178</v>
      </c>
      <c r="E795" s="2">
        <v>5</v>
      </c>
      <c r="F795" s="2" t="str">
        <f>_xlfn.XLOOKUP(C795,customers!$A$1:$A$1001,customers!$B$1:$B$1001,,0,1)</f>
        <v>Lukas Whittlesee</v>
      </c>
      <c r="G795" s="2" t="str">
        <f>IF((_xlfn.XLOOKUP(C795,customers!$A$2:$A$1001,customers!$C$2:$C$1001,,,)=0),"",(_xlfn.XLOOKUP(C795,customers!$A$2:$A$1001,customers!$C$2:$C$1001,,0,)))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12"/>
        <v>17.924999999999997</v>
      </c>
      <c r="N795" t="str" cm="1">
        <f t="array" ref="N795">_xlfn.IFS(I795="rob","Robusta",I795="exc","Excesla",I795="ara","Arabica",I795="lib","Liberica")</f>
        <v>Robusta</v>
      </c>
      <c r="O795" t="str" cm="1">
        <f t="array" ref="O795">_xlfn.IFS(J795="m","Medium",J795="l","Light",J795="d","Dark")</f>
        <v>Light</v>
      </c>
      <c r="P795" t="str">
        <f>_xlfn.XLOOKUP(orders[[#This Row],[Customer ID]],customers!$A$2:$A$1001,customers!$I$2:$I$1001,,0)</f>
        <v>No</v>
      </c>
    </row>
    <row r="796" spans="1:16" x14ac:dyDescent="0.3">
      <c r="A796" s="2" t="s">
        <v>4979</v>
      </c>
      <c r="B796" s="6">
        <v>43987</v>
      </c>
      <c r="C796" s="2" t="s">
        <v>4980</v>
      </c>
      <c r="D796" t="s">
        <v>6182</v>
      </c>
      <c r="E796" s="2">
        <v>5</v>
      </c>
      <c r="F796" s="2" t="str">
        <f>_xlfn.XLOOKUP(C796,customers!$A$1:$A$1001,customers!$B$1:$B$1001,,0,1)</f>
        <v>Gregorius Trengrove</v>
      </c>
      <c r="G796" s="2" t="str">
        <f>IF((_xlfn.XLOOKUP(C796,customers!$A$2:$A$1001,customers!$C$2:$C$1001,,,)=0),"",(_xlfn.XLOOKUP(C796,customers!$A$2:$A$1001,customers!$C$2:$C$1001,,0,)))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12"/>
        <v>148.92499999999998</v>
      </c>
      <c r="N796" t="str" cm="1">
        <f t="array" ref="N796">_xlfn.IFS(I796="rob","Robusta",I796="exc","Excesla",I796="ara","Arabica",I796="lib","Liberica")</f>
        <v>Arabica</v>
      </c>
      <c r="O796" t="str" cm="1">
        <f t="array" ref="O796">_xlfn.IFS(J796="m","Medium",J796="l","Light",J796="d","Dark")</f>
        <v>Light</v>
      </c>
      <c r="P796" t="str">
        <f>_xlfn.XLOOKUP(orders[[#This Row],[Customer ID]],customers!$A$2:$A$1001,customers!$I$2:$I$1001,,0)</f>
        <v>No</v>
      </c>
    </row>
    <row r="797" spans="1:16" x14ac:dyDescent="0.3">
      <c r="A797" s="2" t="s">
        <v>4985</v>
      </c>
      <c r="B797" s="6">
        <v>43540</v>
      </c>
      <c r="C797" s="2" t="s">
        <v>4986</v>
      </c>
      <c r="D797" t="s">
        <v>6173</v>
      </c>
      <c r="E797" s="2">
        <v>4</v>
      </c>
      <c r="F797" s="2" t="str">
        <f>_xlfn.XLOOKUP(C797,customers!$A$1:$A$1001,customers!$B$1:$B$1001,,0,1)</f>
        <v>Wright Caldero</v>
      </c>
      <c r="G797" s="2" t="str">
        <f>IF((_xlfn.XLOOKUP(C797,customers!$A$2:$A$1001,customers!$C$2:$C$1001,,,)=0),"",(_xlfn.XLOOKUP(C797,customers!$A$2:$A$1001,customers!$C$2:$C$1001,,0,)))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12"/>
        <v>28.679999999999996</v>
      </c>
      <c r="N797" t="str" cm="1">
        <f t="array" ref="N797">_xlfn.IFS(I797="rob","Robusta",I797="exc","Excesla",I797="ara","Arabica",I797="lib","Liberica")</f>
        <v>Robusta</v>
      </c>
      <c r="O797" t="str" cm="1">
        <f t="array" ref="O797">_xlfn.IFS(J797="m","Medium",J797="l","Light",J797="d","Dark")</f>
        <v>Light</v>
      </c>
      <c r="P797" t="str">
        <f>_xlfn.XLOOKUP(orders[[#This Row],[Customer ID]],customers!$A$2:$A$1001,customers!$I$2:$I$1001,,0)</f>
        <v>No</v>
      </c>
    </row>
    <row r="798" spans="1:16" x14ac:dyDescent="0.3">
      <c r="A798" s="2" t="s">
        <v>4991</v>
      </c>
      <c r="B798" s="6">
        <v>44533</v>
      </c>
      <c r="C798" s="2" t="s">
        <v>4992</v>
      </c>
      <c r="D798" t="s">
        <v>6161</v>
      </c>
      <c r="E798" s="2">
        <v>1</v>
      </c>
      <c r="F798" s="2" t="str">
        <f>_xlfn.XLOOKUP(C798,customers!$A$1:$A$1001,customers!$B$1:$B$1001,,0,1)</f>
        <v>Merell Zanazzi</v>
      </c>
      <c r="G798" s="2" t="str">
        <f>IF((_xlfn.XLOOKUP(C798,customers!$A$2:$A$1001,customers!$C$2:$C$1001,,,)=0),"",(_xlfn.XLOOKUP(C798,customers!$A$2:$A$1001,customers!$C$2:$C$1001,,0,)))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12"/>
        <v>9.51</v>
      </c>
      <c r="N798" t="str" cm="1">
        <f t="array" ref="N798">_xlfn.IFS(I798="rob","Robusta",I798="exc","Excesla",I798="ara","Arabica",I798="lib","Liberica")</f>
        <v>Liberica</v>
      </c>
      <c r="O798" t="str" cm="1">
        <f t="array" ref="O798">_xlfn.IFS(J798="m","Medium",J798="l","Light",J798="d","Dark")</f>
        <v>Light</v>
      </c>
      <c r="P798" t="str">
        <f>_xlfn.XLOOKUP(orders[[#This Row],[Customer ID]],customers!$A$2:$A$1001,customers!$I$2:$I$1001,,0)</f>
        <v>No</v>
      </c>
    </row>
    <row r="799" spans="1:16" x14ac:dyDescent="0.3">
      <c r="A799" s="2" t="s">
        <v>4996</v>
      </c>
      <c r="B799" s="6">
        <v>44751</v>
      </c>
      <c r="C799" s="2" t="s">
        <v>4997</v>
      </c>
      <c r="D799" t="s">
        <v>6180</v>
      </c>
      <c r="E799" s="2">
        <v>4</v>
      </c>
      <c r="F799" s="2" t="str">
        <f>_xlfn.XLOOKUP(C799,customers!$A$1:$A$1001,customers!$B$1:$B$1001,,0,1)</f>
        <v>Jed Kennicott</v>
      </c>
      <c r="G799" s="2" t="str">
        <f>IF((_xlfn.XLOOKUP(C799,customers!$A$2:$A$1001,customers!$C$2:$C$1001,,,)=0),"",(_xlfn.XLOOKUP(C799,customers!$A$2:$A$1001,customers!$C$2:$C$1001,,0,)))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12"/>
        <v>31.08</v>
      </c>
      <c r="N799" t="str" cm="1">
        <f t="array" ref="N799">_xlfn.IFS(I799="rob","Robusta",I799="exc","Excesla",I799="ara","Arabica",I799="lib","Liberica")</f>
        <v>Arabica</v>
      </c>
      <c r="O799" t="str" cm="1">
        <f t="array" ref="O799">_xlfn.IFS(J799="m","Medium",J799="l","Light",J799="d","Dark")</f>
        <v>Light</v>
      </c>
      <c r="P799" t="str">
        <f>_xlfn.XLOOKUP(orders[[#This Row],[Customer ID]],customers!$A$2:$A$1001,customers!$I$2:$I$1001,,0)</f>
        <v>No</v>
      </c>
    </row>
    <row r="800" spans="1:16" x14ac:dyDescent="0.3">
      <c r="A800" s="2" t="s">
        <v>5002</v>
      </c>
      <c r="B800" s="6">
        <v>43950</v>
      </c>
      <c r="C800" s="2" t="s">
        <v>5003</v>
      </c>
      <c r="D800" t="s">
        <v>6163</v>
      </c>
      <c r="E800" s="2">
        <v>3</v>
      </c>
      <c r="F800" s="2" t="str">
        <f>_xlfn.XLOOKUP(C800,customers!$A$1:$A$1001,customers!$B$1:$B$1001,,0,1)</f>
        <v>Guenevere Ruggen</v>
      </c>
      <c r="G800" s="2" t="str">
        <f>IF((_xlfn.XLOOKUP(C800,customers!$A$2:$A$1001,customers!$C$2:$C$1001,,,)=0),"",(_xlfn.XLOOKUP(C800,customers!$A$2:$A$1001,customers!$C$2:$C$1001,,0,)))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12"/>
        <v>8.0549999999999997</v>
      </c>
      <c r="N800" t="str" cm="1">
        <f t="array" ref="N800">_xlfn.IFS(I800="rob","Robusta",I800="exc","Excesla",I800="ara","Arabica",I800="lib","Liberica")</f>
        <v>Robusta</v>
      </c>
      <c r="O800" t="str" cm="1">
        <f t="array" ref="O800">_xlfn.IFS(J800="m","Medium",J800="l","Light",J800="d","Dark")</f>
        <v>Dark</v>
      </c>
      <c r="P800" t="str">
        <f>_xlfn.XLOOKUP(orders[[#This Row],[Customer ID]],customers!$A$2:$A$1001,customers!$I$2:$I$1001,,0)</f>
        <v>Yes</v>
      </c>
    </row>
    <row r="801" spans="1:16" x14ac:dyDescent="0.3">
      <c r="A801" s="2" t="s">
        <v>5008</v>
      </c>
      <c r="B801" s="6">
        <v>44588</v>
      </c>
      <c r="C801" s="2" t="s">
        <v>5009</v>
      </c>
      <c r="D801" t="s">
        <v>6183</v>
      </c>
      <c r="E801" s="2">
        <v>3</v>
      </c>
      <c r="F801" s="2" t="str">
        <f>_xlfn.XLOOKUP(C801,customers!$A$1:$A$1001,customers!$B$1:$B$1001,,0,1)</f>
        <v>Gonzales Cicculi</v>
      </c>
      <c r="G801" s="2" t="str">
        <f>IF((_xlfn.XLOOKUP(C801,customers!$A$2:$A$1001,customers!$C$2:$C$1001,,,)=0),"",(_xlfn.XLOOKUP(C801,customers!$A$2:$A$1001,customers!$C$2:$C$1001,,0,)))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12"/>
        <v>36.450000000000003</v>
      </c>
      <c r="N801" t="str" cm="1">
        <f t="array" ref="N801">_xlfn.IFS(I801="rob","Robusta",I801="exc","Excesla",I801="ara","Arabica",I801="lib","Liberica")</f>
        <v>Excesla</v>
      </c>
      <c r="O801" t="str" cm="1">
        <f t="array" ref="O801">_xlfn.IFS(J801="m","Medium",J801="l","Light",J801="d","Dark")</f>
        <v>Dark</v>
      </c>
      <c r="P801" t="str">
        <f>_xlfn.XLOOKUP(orders[[#This Row],[Customer ID]],customers!$A$2:$A$1001,customers!$I$2:$I$1001,,0)</f>
        <v>Yes</v>
      </c>
    </row>
    <row r="802" spans="1:16" x14ac:dyDescent="0.3">
      <c r="A802" s="2" t="s">
        <v>5012</v>
      </c>
      <c r="B802" s="6">
        <v>44240</v>
      </c>
      <c r="C802" s="2" t="s">
        <v>5013</v>
      </c>
      <c r="D802" t="s">
        <v>6163</v>
      </c>
      <c r="E802" s="2">
        <v>6</v>
      </c>
      <c r="F802" s="2" t="str">
        <f>_xlfn.XLOOKUP(C802,customers!$A$1:$A$1001,customers!$B$1:$B$1001,,0,1)</f>
        <v>Man Fright</v>
      </c>
      <c r="G802" s="2" t="str">
        <f>IF((_xlfn.XLOOKUP(C802,customers!$A$2:$A$1001,customers!$C$2:$C$1001,,,)=0),"",(_xlfn.XLOOKUP(C802,customers!$A$2:$A$1001,customers!$C$2:$C$1001,,0,)))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12"/>
        <v>16.11</v>
      </c>
      <c r="N802" t="str" cm="1">
        <f t="array" ref="N802">_xlfn.IFS(I802="rob","Robusta",I802="exc","Excesla",I802="ara","Arabica",I802="lib","Liberica")</f>
        <v>Robusta</v>
      </c>
      <c r="O802" t="str" cm="1">
        <f t="array" ref="O802">_xlfn.IFS(J802="m","Medium",J802="l","Light",J802="d","Dark")</f>
        <v>Dark</v>
      </c>
      <c r="P802" t="str">
        <f>_xlfn.XLOOKUP(orders[[#This Row],[Customer ID]],customers!$A$2:$A$1001,customers!$I$2:$I$1001,,0)</f>
        <v>No</v>
      </c>
    </row>
    <row r="803" spans="1:16" x14ac:dyDescent="0.3">
      <c r="A803" s="2" t="s">
        <v>5018</v>
      </c>
      <c r="B803" s="6">
        <v>44025</v>
      </c>
      <c r="C803" s="2" t="s">
        <v>5019</v>
      </c>
      <c r="D803" t="s">
        <v>6149</v>
      </c>
      <c r="E803" s="2">
        <v>2</v>
      </c>
      <c r="F803" s="2" t="str">
        <f>_xlfn.XLOOKUP(C803,customers!$A$1:$A$1001,customers!$B$1:$B$1001,,0,1)</f>
        <v>Boyce Tarte</v>
      </c>
      <c r="G803" s="2" t="str">
        <f>IF((_xlfn.XLOOKUP(C803,customers!$A$2:$A$1001,customers!$C$2:$C$1001,,,)=0),"",(_xlfn.XLOOKUP(C803,customers!$A$2:$A$1001,customers!$C$2:$C$1001,,0,)))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12"/>
        <v>41.169999999999995</v>
      </c>
      <c r="N803" t="str" cm="1">
        <f t="array" ref="N803">_xlfn.IFS(I803="rob","Robusta",I803="exc","Excesla",I803="ara","Arabica",I803="lib","Liberica")</f>
        <v>Robusta</v>
      </c>
      <c r="O803" t="str" cm="1">
        <f t="array" ref="O803">_xlfn.IFS(J803="m","Medium",J803="l","Light",J803="d","Dark")</f>
        <v>Dark</v>
      </c>
      <c r="P803" t="str">
        <f>_xlfn.XLOOKUP(orders[[#This Row],[Customer ID]],customers!$A$2:$A$1001,customers!$I$2:$I$1001,,0)</f>
        <v>Yes</v>
      </c>
    </row>
    <row r="804" spans="1:16" x14ac:dyDescent="0.3">
      <c r="A804" s="2" t="s">
        <v>5024</v>
      </c>
      <c r="B804" s="6">
        <v>43902</v>
      </c>
      <c r="C804" s="2" t="s">
        <v>5025</v>
      </c>
      <c r="D804" t="s">
        <v>6163</v>
      </c>
      <c r="E804" s="2">
        <v>4</v>
      </c>
      <c r="F804" s="2" t="str">
        <f>_xlfn.XLOOKUP(C804,customers!$A$1:$A$1001,customers!$B$1:$B$1001,,0,1)</f>
        <v>Caddric Krzysztofiak</v>
      </c>
      <c r="G804" s="2" t="str">
        <f>IF((_xlfn.XLOOKUP(C804,customers!$A$2:$A$1001,customers!$C$2:$C$1001,,,)=0),"",(_xlfn.XLOOKUP(C804,customers!$A$2:$A$1001,customers!$C$2:$C$1001,,0,)))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12"/>
        <v>10.739999999999998</v>
      </c>
      <c r="N804" t="str" cm="1">
        <f t="array" ref="N804">_xlfn.IFS(I804="rob","Robusta",I804="exc","Excesla",I804="ara","Arabica",I804="lib","Liberica")</f>
        <v>Robusta</v>
      </c>
      <c r="O804" t="str" cm="1">
        <f t="array" ref="O804">_xlfn.IFS(J804="m","Medium",J804="l","Light",J804="d","Dark")</f>
        <v>Dark</v>
      </c>
      <c r="P804" t="str">
        <f>_xlfn.XLOOKUP(orders[[#This Row],[Customer ID]],customers!$A$2:$A$1001,customers!$I$2:$I$1001,,0)</f>
        <v>No</v>
      </c>
    </row>
    <row r="805" spans="1:16" x14ac:dyDescent="0.3">
      <c r="A805" s="2" t="s">
        <v>5030</v>
      </c>
      <c r="B805" s="6">
        <v>43955</v>
      </c>
      <c r="C805" s="2" t="s">
        <v>5031</v>
      </c>
      <c r="D805" t="s">
        <v>6166</v>
      </c>
      <c r="E805" s="2">
        <v>4</v>
      </c>
      <c r="F805" s="2" t="str">
        <f>_xlfn.XLOOKUP(C805,customers!$A$1:$A$1001,customers!$B$1:$B$1001,,0,1)</f>
        <v>Darn Penquet</v>
      </c>
      <c r="G805" s="2" t="str">
        <f>IF((_xlfn.XLOOKUP(C805,customers!$A$2:$A$1001,customers!$C$2:$C$1001,,,)=0),"",(_xlfn.XLOOKUP(C805,customers!$A$2:$A$1001,customers!$C$2:$C$1001,,0,)))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12"/>
        <v>126.49999999999999</v>
      </c>
      <c r="N805" t="str" cm="1">
        <f t="array" ref="N805">_xlfn.IFS(I805="rob","Robusta",I805="exc","Excesla",I805="ara","Arabica",I805="lib","Liberica")</f>
        <v>Excesla</v>
      </c>
      <c r="O805" t="str" cm="1">
        <f t="array" ref="O805">_xlfn.IFS(J805="m","Medium",J805="l","Light",J805="d","Dark")</f>
        <v>Medium</v>
      </c>
      <c r="P805" t="str">
        <f>_xlfn.XLOOKUP(orders[[#This Row],[Customer ID]],customers!$A$2:$A$1001,customers!$I$2:$I$1001,,0)</f>
        <v>No</v>
      </c>
    </row>
    <row r="806" spans="1:16" x14ac:dyDescent="0.3">
      <c r="A806" s="2" t="s">
        <v>5035</v>
      </c>
      <c r="B806" s="6">
        <v>44289</v>
      </c>
      <c r="C806" s="2" t="s">
        <v>5036</v>
      </c>
      <c r="D806" t="s">
        <v>6179</v>
      </c>
      <c r="E806" s="2">
        <v>2</v>
      </c>
      <c r="F806" s="2" t="str">
        <f>_xlfn.XLOOKUP(C806,customers!$A$1:$A$1001,customers!$B$1:$B$1001,,0,1)</f>
        <v>Jammie Cloke</v>
      </c>
      <c r="G806" s="2" t="str">
        <f>IF((_xlfn.XLOOKUP(C806,customers!$A$2:$A$1001,customers!$C$2:$C$1001,,,)=0),"",(_xlfn.XLOOKUP(C806,customers!$A$2:$A$1001,customers!$C$2:$C$1001,,0,)))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12"/>
        <v>23.9</v>
      </c>
      <c r="N806" t="str" cm="1">
        <f t="array" ref="N806">_xlfn.IFS(I806="rob","Robusta",I806="exc","Excesla",I806="ara","Arabica",I806="lib","Liberica")</f>
        <v>Robusta</v>
      </c>
      <c r="O806" t="str" cm="1">
        <f t="array" ref="O806">_xlfn.IFS(J806="m","Medium",J806="l","Light",J806="d","Dark")</f>
        <v>Light</v>
      </c>
      <c r="P806" t="str">
        <f>_xlfn.XLOOKUP(orders[[#This Row],[Customer ID]],customers!$A$2:$A$1001,customers!$I$2:$I$1001,,0)</f>
        <v>No</v>
      </c>
    </row>
    <row r="807" spans="1:16" x14ac:dyDescent="0.3">
      <c r="A807" s="2" t="s">
        <v>5040</v>
      </c>
      <c r="B807" s="6">
        <v>44713</v>
      </c>
      <c r="C807" s="2" t="s">
        <v>5041</v>
      </c>
      <c r="D807" t="s">
        <v>6146</v>
      </c>
      <c r="E807" s="2">
        <v>1</v>
      </c>
      <c r="F807" s="2" t="str">
        <f>_xlfn.XLOOKUP(C807,customers!$A$1:$A$1001,customers!$B$1:$B$1001,,0,1)</f>
        <v>Chester Clowton</v>
      </c>
      <c r="G807" s="2" t="str">
        <f>IF((_xlfn.XLOOKUP(C807,customers!$A$2:$A$1001,customers!$C$2:$C$1001,,,)=0),"",(_xlfn.XLOOKUP(C807,customers!$A$2:$A$1001,customers!$C$2:$C$1001,,0,)))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12"/>
        <v>5.97</v>
      </c>
      <c r="N807" t="str" cm="1">
        <f t="array" ref="N807">_xlfn.IFS(I807="rob","Robusta",I807="exc","Excesla",I807="ara","Arabica",I807="lib","Liberica")</f>
        <v>Robusta</v>
      </c>
      <c r="O807" t="str" cm="1">
        <f t="array" ref="O807">_xlfn.IFS(J807="m","Medium",J807="l","Light",J807="d","Dark")</f>
        <v>Medium</v>
      </c>
      <c r="P807" t="str">
        <f>_xlfn.XLOOKUP(orders[[#This Row],[Customer ID]],customers!$A$2:$A$1001,customers!$I$2:$I$1001,,0)</f>
        <v>No</v>
      </c>
    </row>
    <row r="808" spans="1:16" x14ac:dyDescent="0.3">
      <c r="A808" s="2" t="s">
        <v>5046</v>
      </c>
      <c r="B808" s="6">
        <v>44241</v>
      </c>
      <c r="C808" s="2" t="s">
        <v>5047</v>
      </c>
      <c r="D808" t="s">
        <v>6150</v>
      </c>
      <c r="E808" s="2">
        <v>2</v>
      </c>
      <c r="F808" s="2" t="str">
        <f>_xlfn.XLOOKUP(C808,customers!$A$1:$A$1001,customers!$B$1:$B$1001,,0,1)</f>
        <v>Kathleen Diable</v>
      </c>
      <c r="G808" s="2" t="str">
        <f>IF((_xlfn.XLOOKUP(C808,customers!$A$2:$A$1001,customers!$C$2:$C$1001,,,)=0),"",(_xlfn.XLOOKUP(C808,customers!$A$2:$A$1001,customers!$C$2:$C$1001,,0,)))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12"/>
        <v>7.77</v>
      </c>
      <c r="N808" t="str" cm="1">
        <f t="array" ref="N808">_xlfn.IFS(I808="rob","Robusta",I808="exc","Excesla",I808="ara","Arabica",I808="lib","Liberica")</f>
        <v>Liberica</v>
      </c>
      <c r="O808" t="str" cm="1">
        <f t="array" ref="O808">_xlfn.IFS(J808="m","Medium",J808="l","Light",J808="d","Dark")</f>
        <v>Dark</v>
      </c>
      <c r="P808" t="str">
        <f>_xlfn.XLOOKUP(orders[[#This Row],[Customer ID]],customers!$A$2:$A$1001,customers!$I$2:$I$1001,,0)</f>
        <v>Yes</v>
      </c>
    </row>
    <row r="809" spans="1:16" x14ac:dyDescent="0.3">
      <c r="A809" s="2" t="s">
        <v>5050</v>
      </c>
      <c r="B809" s="6">
        <v>44543</v>
      </c>
      <c r="C809" s="2" t="s">
        <v>5051</v>
      </c>
      <c r="D809" t="s">
        <v>6169</v>
      </c>
      <c r="E809" s="2">
        <v>3</v>
      </c>
      <c r="F809" s="2" t="str">
        <f>_xlfn.XLOOKUP(C809,customers!$A$1:$A$1001,customers!$B$1:$B$1001,,0,1)</f>
        <v>Koren Ferretti</v>
      </c>
      <c r="G809" s="2" t="str">
        <f>IF((_xlfn.XLOOKUP(C809,customers!$A$2:$A$1001,customers!$C$2:$C$1001,,,)=0),"",(_xlfn.XLOOKUP(C809,customers!$A$2:$A$1001,customers!$C$2:$C$1001,,0,)))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12"/>
        <v>23.31</v>
      </c>
      <c r="N809" t="str" cm="1">
        <f t="array" ref="N809">_xlfn.IFS(I809="rob","Robusta",I809="exc","Excesla",I809="ara","Arabica",I809="lib","Liberica")</f>
        <v>Liberica</v>
      </c>
      <c r="O809" t="str" cm="1">
        <f t="array" ref="O809">_xlfn.IFS(J809="m","Medium",J809="l","Light",J809="d","Dark")</f>
        <v>Dark</v>
      </c>
      <c r="P809" t="str">
        <f>_xlfn.XLOOKUP(orders[[#This Row],[Customer ID]],customers!$A$2:$A$1001,customers!$I$2:$I$1001,,0)</f>
        <v>No</v>
      </c>
    </row>
    <row r="810" spans="1:16" x14ac:dyDescent="0.3">
      <c r="A810" s="2" t="s">
        <v>5056</v>
      </c>
      <c r="B810" s="6">
        <v>43868</v>
      </c>
      <c r="C810" s="2" t="s">
        <v>5113</v>
      </c>
      <c r="D810" t="s">
        <v>6142</v>
      </c>
      <c r="E810" s="2">
        <v>5</v>
      </c>
      <c r="F810" s="2" t="str">
        <f>_xlfn.XLOOKUP(C810,customers!$A$1:$A$1001,customers!$B$1:$B$1001,,0,1)</f>
        <v>Allis Wilmore</v>
      </c>
      <c r="G810" s="2" t="str">
        <f>IF((_xlfn.XLOOKUP(C810,customers!$A$2:$A$1001,customers!$C$2:$C$1001,,,)=0),"",(_xlfn.XLOOKUP(C810,customers!$A$2:$A$1001,customers!$C$2:$C$1001,,0,)))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12"/>
        <v>137.42499999999998</v>
      </c>
      <c r="N810" t="str" cm="1">
        <f t="array" ref="N810">_xlfn.IFS(I810="rob","Robusta",I810="exc","Excesla",I810="ara","Arabica",I810="lib","Liberica")</f>
        <v>Robusta</v>
      </c>
      <c r="O810" t="str" cm="1">
        <f t="array" ref="O810">_xlfn.IFS(J810="m","Medium",J810="l","Light",J810="d","Dark")</f>
        <v>Light</v>
      </c>
      <c r="P810" t="str">
        <f>_xlfn.XLOOKUP(orders[[#This Row],[Customer ID]],customers!$A$2:$A$1001,customers!$I$2:$I$1001,,0)</f>
        <v>No</v>
      </c>
    </row>
    <row r="811" spans="1:16" x14ac:dyDescent="0.3">
      <c r="A811" s="2" t="s">
        <v>5062</v>
      </c>
      <c r="B811" s="6">
        <v>44235</v>
      </c>
      <c r="C811" s="2" t="s">
        <v>5063</v>
      </c>
      <c r="D811" t="s">
        <v>6163</v>
      </c>
      <c r="E811" s="2">
        <v>3</v>
      </c>
      <c r="F811" s="2" t="str">
        <f>_xlfn.XLOOKUP(C811,customers!$A$1:$A$1001,customers!$B$1:$B$1001,,0,1)</f>
        <v>Chaddie Bennie</v>
      </c>
      <c r="G811" s="2" t="str">
        <f>IF((_xlfn.XLOOKUP(C811,customers!$A$2:$A$1001,customers!$C$2:$C$1001,,,)=0),"",(_xlfn.XLOOKUP(C811,customers!$A$2:$A$1001,customers!$C$2:$C$1001,,0,)))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12"/>
        <v>8.0549999999999997</v>
      </c>
      <c r="N811" t="str" cm="1">
        <f t="array" ref="N811">_xlfn.IFS(I811="rob","Robusta",I811="exc","Excesla",I811="ara","Arabica",I811="lib","Liberica")</f>
        <v>Robusta</v>
      </c>
      <c r="O811" t="str" cm="1">
        <f t="array" ref="O811">_xlfn.IFS(J811="m","Medium",J811="l","Light",J811="d","Dark")</f>
        <v>Dark</v>
      </c>
      <c r="P811" t="str">
        <f>_xlfn.XLOOKUP(orders[[#This Row],[Customer ID]],customers!$A$2:$A$1001,customers!$I$2:$I$1001,,0)</f>
        <v>Yes</v>
      </c>
    </row>
    <row r="812" spans="1:16" x14ac:dyDescent="0.3">
      <c r="A812" s="2" t="s">
        <v>5067</v>
      </c>
      <c r="B812" s="6">
        <v>44054</v>
      </c>
      <c r="C812" s="2" t="s">
        <v>5068</v>
      </c>
      <c r="D812" t="s">
        <v>6161</v>
      </c>
      <c r="E812" s="2">
        <v>3</v>
      </c>
      <c r="F812" s="2" t="str">
        <f>_xlfn.XLOOKUP(C812,customers!$A$1:$A$1001,customers!$B$1:$B$1001,,0,1)</f>
        <v>Alberta Balsdone</v>
      </c>
      <c r="G812" s="2" t="str">
        <f>IF((_xlfn.XLOOKUP(C812,customers!$A$2:$A$1001,customers!$C$2:$C$1001,,,)=0),"",(_xlfn.XLOOKUP(C812,customers!$A$2:$A$1001,customers!$C$2:$C$1001,,0,)))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12"/>
        <v>28.53</v>
      </c>
      <c r="N812" t="str" cm="1">
        <f t="array" ref="N812">_xlfn.IFS(I812="rob","Robusta",I812="exc","Excesla",I812="ara","Arabica",I812="lib","Liberica")</f>
        <v>Liberica</v>
      </c>
      <c r="O812" t="str" cm="1">
        <f t="array" ref="O812">_xlfn.IFS(J812="m","Medium",J812="l","Light",J812="d","Dark")</f>
        <v>Light</v>
      </c>
      <c r="P812" t="str">
        <f>_xlfn.XLOOKUP(orders[[#This Row],[Customer ID]],customers!$A$2:$A$1001,customers!$I$2:$I$1001,,0)</f>
        <v>No</v>
      </c>
    </row>
    <row r="813" spans="1:16" x14ac:dyDescent="0.3">
      <c r="A813" s="2" t="s">
        <v>5073</v>
      </c>
      <c r="B813" s="6">
        <v>44114</v>
      </c>
      <c r="C813" s="2" t="s">
        <v>5074</v>
      </c>
      <c r="D813" t="s">
        <v>6155</v>
      </c>
      <c r="E813" s="2">
        <v>6</v>
      </c>
      <c r="F813" s="2" t="str">
        <f>_xlfn.XLOOKUP(C813,customers!$A$1:$A$1001,customers!$B$1:$B$1001,,0,1)</f>
        <v>Brice Romera</v>
      </c>
      <c r="G813" s="2" t="str">
        <f>IF((_xlfn.XLOOKUP(C813,customers!$A$2:$A$1001,customers!$C$2:$C$1001,,,)=0),"",(_xlfn.XLOOKUP(C813,customers!$A$2:$A$1001,customers!$C$2:$C$1001,,0,)))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12"/>
        <v>67.5</v>
      </c>
      <c r="N813" t="str" cm="1">
        <f t="array" ref="N813">_xlfn.IFS(I813="rob","Robusta",I813="exc","Excesla",I813="ara","Arabica",I813="lib","Liberica")</f>
        <v>Arabica</v>
      </c>
      <c r="O813" t="str" cm="1">
        <f t="array" ref="O813">_xlfn.IFS(J813="m","Medium",J813="l","Light",J813="d","Dark")</f>
        <v>Medium</v>
      </c>
      <c r="P813" t="str">
        <f>_xlfn.XLOOKUP(orders[[#This Row],[Customer ID]],customers!$A$2:$A$1001,customers!$I$2:$I$1001,,0)</f>
        <v>Yes</v>
      </c>
    </row>
    <row r="814" spans="1:16" x14ac:dyDescent="0.3">
      <c r="A814" s="2" t="s">
        <v>5073</v>
      </c>
      <c r="B814" s="6">
        <v>44114</v>
      </c>
      <c r="C814" s="2" t="s">
        <v>5074</v>
      </c>
      <c r="D814" t="s">
        <v>6165</v>
      </c>
      <c r="E814" s="2">
        <v>6</v>
      </c>
      <c r="F814" s="2" t="str">
        <f>_xlfn.XLOOKUP(C814,customers!$A$1:$A$1001,customers!$B$1:$B$1001,,0,1)</f>
        <v>Brice Romera</v>
      </c>
      <c r="G814" s="2" t="str">
        <f>IF((_xlfn.XLOOKUP(C814,customers!$A$2:$A$1001,customers!$C$2:$C$1001,,,)=0),"",(_xlfn.XLOOKUP(C814,customers!$A$2:$A$1001,customers!$C$2:$C$1001,,0,)))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12"/>
        <v>178.70999999999998</v>
      </c>
      <c r="N814" t="str" cm="1">
        <f t="array" ref="N814">_xlfn.IFS(I814="rob","Robusta",I814="exc","Excesla",I814="ara","Arabica",I814="lib","Liberica")</f>
        <v>Liberica</v>
      </c>
      <c r="O814" t="str" cm="1">
        <f t="array" ref="O814">_xlfn.IFS(J814="m","Medium",J814="l","Light",J814="d","Dark")</f>
        <v>Dark</v>
      </c>
      <c r="P814" t="str">
        <f>_xlfn.XLOOKUP(orders[[#This Row],[Customer ID]],customers!$A$2:$A$1001,customers!$I$2:$I$1001,,0)</f>
        <v>Yes</v>
      </c>
    </row>
    <row r="815" spans="1:16" x14ac:dyDescent="0.3">
      <c r="A815" s="2" t="s">
        <v>5084</v>
      </c>
      <c r="B815" s="6">
        <v>44173</v>
      </c>
      <c r="C815" s="2" t="s">
        <v>5085</v>
      </c>
      <c r="D815" t="s">
        <v>6166</v>
      </c>
      <c r="E815" s="2">
        <v>1</v>
      </c>
      <c r="F815" s="2" t="str">
        <f>_xlfn.XLOOKUP(C815,customers!$A$1:$A$1001,customers!$B$1:$B$1001,,0,1)</f>
        <v>Conchita Bryde</v>
      </c>
      <c r="G815" s="2" t="str">
        <f>IF((_xlfn.XLOOKUP(C815,customers!$A$2:$A$1001,customers!$C$2:$C$1001,,,)=0),"",(_xlfn.XLOOKUP(C815,customers!$A$2:$A$1001,customers!$C$2:$C$1001,,0,)))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12"/>
        <v>31.624999999999996</v>
      </c>
      <c r="N815" t="str" cm="1">
        <f t="array" ref="N815">_xlfn.IFS(I815="rob","Robusta",I815="exc","Excesla",I815="ara","Arabica",I815="lib","Liberica")</f>
        <v>Excesla</v>
      </c>
      <c r="O815" t="str" cm="1">
        <f t="array" ref="O815">_xlfn.IFS(J815="m","Medium",J815="l","Light",J815="d","Dark")</f>
        <v>Medium</v>
      </c>
      <c r="P815" t="str">
        <f>_xlfn.XLOOKUP(orders[[#This Row],[Customer ID]],customers!$A$2:$A$1001,customers!$I$2:$I$1001,,0)</f>
        <v>Yes</v>
      </c>
    </row>
    <row r="816" spans="1:16" x14ac:dyDescent="0.3">
      <c r="A816" s="2" t="s">
        <v>5090</v>
      </c>
      <c r="B816" s="6">
        <v>43573</v>
      </c>
      <c r="C816" s="2" t="s">
        <v>5091</v>
      </c>
      <c r="D816" t="s">
        <v>6184</v>
      </c>
      <c r="E816" s="2">
        <v>2</v>
      </c>
      <c r="F816" s="2" t="str">
        <f>_xlfn.XLOOKUP(C816,customers!$A$1:$A$1001,customers!$B$1:$B$1001,,0,1)</f>
        <v>Silvanus Enefer</v>
      </c>
      <c r="G816" s="2" t="str">
        <f>IF((_xlfn.XLOOKUP(C816,customers!$A$2:$A$1001,customers!$C$2:$C$1001,,,)=0),"",(_xlfn.XLOOKUP(C816,customers!$A$2:$A$1001,customers!$C$2:$C$1001,,0,)))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12"/>
        <v>8.91</v>
      </c>
      <c r="N816" t="str" cm="1">
        <f t="array" ref="N816">_xlfn.IFS(I816="rob","Robusta",I816="exc","Excesla",I816="ara","Arabica",I816="lib","Liberica")</f>
        <v>Excesla</v>
      </c>
      <c r="O816" t="str" cm="1">
        <f t="array" ref="O816">_xlfn.IFS(J816="m","Medium",J816="l","Light",J816="d","Dark")</f>
        <v>Light</v>
      </c>
      <c r="P816" t="str">
        <f>_xlfn.XLOOKUP(orders[[#This Row],[Customer ID]],customers!$A$2:$A$1001,customers!$I$2:$I$1001,,0)</f>
        <v>No</v>
      </c>
    </row>
    <row r="817" spans="1:16" x14ac:dyDescent="0.3">
      <c r="A817" s="2" t="s">
        <v>5096</v>
      </c>
      <c r="B817" s="6">
        <v>44200</v>
      </c>
      <c r="C817" s="2" t="s">
        <v>5097</v>
      </c>
      <c r="D817" t="s">
        <v>6146</v>
      </c>
      <c r="E817" s="2">
        <v>6</v>
      </c>
      <c r="F817" s="2" t="str">
        <f>_xlfn.XLOOKUP(C817,customers!$A$1:$A$1001,customers!$B$1:$B$1001,,0,1)</f>
        <v>Lenci Haggerstone</v>
      </c>
      <c r="G817" s="2" t="str">
        <f>IF((_xlfn.XLOOKUP(C817,customers!$A$2:$A$1001,customers!$C$2:$C$1001,,,)=0),"",(_xlfn.XLOOKUP(C817,customers!$A$2:$A$1001,customers!$C$2:$C$1001,,0,)))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12"/>
        <v>35.82</v>
      </c>
      <c r="N817" t="str" cm="1">
        <f t="array" ref="N817">_xlfn.IFS(I817="rob","Robusta",I817="exc","Excesla",I817="ara","Arabica",I817="lib","Liberica")</f>
        <v>Robusta</v>
      </c>
      <c r="O817" t="str" cm="1">
        <f t="array" ref="O817">_xlfn.IFS(J817="m","Medium",J817="l","Light",J817="d","Dark")</f>
        <v>Medium</v>
      </c>
      <c r="P817" t="str">
        <f>_xlfn.XLOOKUP(orders[[#This Row],[Customer ID]],customers!$A$2:$A$1001,customers!$I$2:$I$1001,,0)</f>
        <v>No</v>
      </c>
    </row>
    <row r="818" spans="1:16" x14ac:dyDescent="0.3">
      <c r="A818" s="2" t="s">
        <v>5102</v>
      </c>
      <c r="B818" s="6">
        <v>43534</v>
      </c>
      <c r="C818" s="2" t="s">
        <v>5103</v>
      </c>
      <c r="D818" t="s">
        <v>6161</v>
      </c>
      <c r="E818" s="2">
        <v>4</v>
      </c>
      <c r="F818" s="2" t="str">
        <f>_xlfn.XLOOKUP(C818,customers!$A$1:$A$1001,customers!$B$1:$B$1001,,0,1)</f>
        <v>Marvin Gundry</v>
      </c>
      <c r="G818" s="2" t="str">
        <f>IF((_xlfn.XLOOKUP(C818,customers!$A$2:$A$1001,customers!$C$2:$C$1001,,,)=0),"",(_xlfn.XLOOKUP(C818,customers!$A$2:$A$1001,customers!$C$2:$C$1001,,0,)))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12"/>
        <v>38.04</v>
      </c>
      <c r="N818" t="str" cm="1">
        <f t="array" ref="N818">_xlfn.IFS(I818="rob","Robusta",I818="exc","Excesla",I818="ara","Arabica",I818="lib","Liberica")</f>
        <v>Liberica</v>
      </c>
      <c r="O818" t="str" cm="1">
        <f t="array" ref="O818">_xlfn.IFS(J818="m","Medium",J818="l","Light",J818="d","Dark")</f>
        <v>Light</v>
      </c>
      <c r="P818" t="str">
        <f>_xlfn.XLOOKUP(orders[[#This Row],[Customer ID]],customers!$A$2:$A$1001,customers!$I$2:$I$1001,,0)</f>
        <v>No</v>
      </c>
    </row>
    <row r="819" spans="1:16" x14ac:dyDescent="0.3">
      <c r="A819" s="2" t="s">
        <v>5107</v>
      </c>
      <c r="B819" s="6">
        <v>43798</v>
      </c>
      <c r="C819" s="2" t="s">
        <v>5108</v>
      </c>
      <c r="D819" t="s">
        <v>6169</v>
      </c>
      <c r="E819" s="2">
        <v>2</v>
      </c>
      <c r="F819" s="2" t="str">
        <f>_xlfn.XLOOKUP(C819,customers!$A$1:$A$1001,customers!$B$1:$B$1001,,0,1)</f>
        <v>Bayard Wellan</v>
      </c>
      <c r="G819" s="2" t="str">
        <f>IF((_xlfn.XLOOKUP(C819,customers!$A$2:$A$1001,customers!$C$2:$C$1001,,,)=0),"",(_xlfn.XLOOKUP(C819,customers!$A$2:$A$1001,customers!$C$2:$C$1001,,0,)))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12"/>
        <v>15.54</v>
      </c>
      <c r="N819" t="str" cm="1">
        <f t="array" ref="N819">_xlfn.IFS(I819="rob","Robusta",I819="exc","Excesla",I819="ara","Arabica",I819="lib","Liberica")</f>
        <v>Liberica</v>
      </c>
      <c r="O819" t="str" cm="1">
        <f t="array" ref="O819">_xlfn.IFS(J819="m","Medium",J819="l","Light",J819="d","Dark")</f>
        <v>Dark</v>
      </c>
      <c r="P819" t="str">
        <f>_xlfn.XLOOKUP(orders[[#This Row],[Customer ID]],customers!$A$2:$A$1001,customers!$I$2:$I$1001,,0)</f>
        <v>No</v>
      </c>
    </row>
    <row r="820" spans="1:16" x14ac:dyDescent="0.3">
      <c r="A820" s="2" t="s">
        <v>5112</v>
      </c>
      <c r="B820" s="6">
        <v>44761</v>
      </c>
      <c r="C820" s="2" t="s">
        <v>5113</v>
      </c>
      <c r="D820" t="s">
        <v>6170</v>
      </c>
      <c r="E820" s="2">
        <v>5</v>
      </c>
      <c r="F820" s="2" t="str">
        <f>_xlfn.XLOOKUP(C820,customers!$A$1:$A$1001,customers!$B$1:$B$1001,,0,1)</f>
        <v>Allis Wilmore</v>
      </c>
      <c r="G820" s="2" t="str">
        <f>IF((_xlfn.XLOOKUP(C820,customers!$A$2:$A$1001,customers!$C$2:$C$1001,,,)=0),"",(_xlfn.XLOOKUP(C820,customers!$A$2:$A$1001,customers!$C$2:$C$1001,,0,)))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12"/>
        <v>79.25</v>
      </c>
      <c r="N820" t="str" cm="1">
        <f t="array" ref="N820">_xlfn.IFS(I820="rob","Robusta",I820="exc","Excesla",I820="ara","Arabica",I820="lib","Liberica")</f>
        <v>Liberica</v>
      </c>
      <c r="O820" t="str" cm="1">
        <f t="array" ref="O820">_xlfn.IFS(J820="m","Medium",J820="l","Light",J820="d","Dark")</f>
        <v>Light</v>
      </c>
      <c r="P820" t="str">
        <f>_xlfn.XLOOKUP(orders[[#This Row],[Customer ID]],customers!$A$2:$A$1001,customers!$I$2:$I$1001,,0)</f>
        <v>No</v>
      </c>
    </row>
    <row r="821" spans="1:16" x14ac:dyDescent="0.3">
      <c r="A821" s="2" t="s">
        <v>5117</v>
      </c>
      <c r="B821" s="6">
        <v>44008</v>
      </c>
      <c r="C821" s="2" t="s">
        <v>5118</v>
      </c>
      <c r="D821" t="s">
        <v>6145</v>
      </c>
      <c r="E821" s="2">
        <v>1</v>
      </c>
      <c r="F821" s="2" t="str">
        <f>_xlfn.XLOOKUP(C821,customers!$A$1:$A$1001,customers!$B$1:$B$1001,,0,1)</f>
        <v>Caddric Atcheson</v>
      </c>
      <c r="G821" s="2" t="str">
        <f>IF((_xlfn.XLOOKUP(C821,customers!$A$2:$A$1001,customers!$C$2:$C$1001,,,)=0),"",(_xlfn.XLOOKUP(C821,customers!$A$2:$A$1001,customers!$C$2:$C$1001,,0,)))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12"/>
        <v>4.7549999999999999</v>
      </c>
      <c r="N821" t="str" cm="1">
        <f t="array" ref="N821">_xlfn.IFS(I821="rob","Robusta",I821="exc","Excesla",I821="ara","Arabica",I821="lib","Liberica")</f>
        <v>Liberica</v>
      </c>
      <c r="O821" t="str" cm="1">
        <f t="array" ref="O821">_xlfn.IFS(J821="m","Medium",J821="l","Light",J821="d","Dark")</f>
        <v>Light</v>
      </c>
      <c r="P821" t="str">
        <f>_xlfn.XLOOKUP(orders[[#This Row],[Customer ID]],customers!$A$2:$A$1001,customers!$I$2:$I$1001,,0)</f>
        <v>Yes</v>
      </c>
    </row>
    <row r="822" spans="1:16" x14ac:dyDescent="0.3">
      <c r="A822" s="2" t="s">
        <v>5123</v>
      </c>
      <c r="B822" s="6">
        <v>43510</v>
      </c>
      <c r="C822" s="2" t="s">
        <v>5124</v>
      </c>
      <c r="D822" t="s">
        <v>6141</v>
      </c>
      <c r="E822" s="2">
        <v>4</v>
      </c>
      <c r="F822" s="2" t="str">
        <f>_xlfn.XLOOKUP(C822,customers!$A$1:$A$1001,customers!$B$1:$B$1001,,0,1)</f>
        <v>Eustace Stenton</v>
      </c>
      <c r="G822" s="2" t="str">
        <f>IF((_xlfn.XLOOKUP(C822,customers!$A$2:$A$1001,customers!$C$2:$C$1001,,,)=0),"",(_xlfn.XLOOKUP(C822,customers!$A$2:$A$1001,customers!$C$2:$C$1001,,0,)))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12"/>
        <v>55</v>
      </c>
      <c r="N822" t="str" cm="1">
        <f t="array" ref="N822">_xlfn.IFS(I822="rob","Robusta",I822="exc","Excesla",I822="ara","Arabica",I822="lib","Liberica")</f>
        <v>Excesla</v>
      </c>
      <c r="O822" t="str" cm="1">
        <f t="array" ref="O822">_xlfn.IFS(J822="m","Medium",J822="l","Light",J822="d","Dark")</f>
        <v>Medium</v>
      </c>
      <c r="P822" t="str">
        <f>_xlfn.XLOOKUP(orders[[#This Row],[Customer ID]],customers!$A$2:$A$1001,customers!$I$2:$I$1001,,0)</f>
        <v>Yes</v>
      </c>
    </row>
    <row r="823" spans="1:16" x14ac:dyDescent="0.3">
      <c r="A823" s="2" t="s">
        <v>5129</v>
      </c>
      <c r="B823" s="6">
        <v>44144</v>
      </c>
      <c r="C823" s="2" t="s">
        <v>5130</v>
      </c>
      <c r="D823" t="s">
        <v>6172</v>
      </c>
      <c r="E823" s="2">
        <v>5</v>
      </c>
      <c r="F823" s="2" t="str">
        <f>_xlfn.XLOOKUP(C823,customers!$A$1:$A$1001,customers!$B$1:$B$1001,,0,1)</f>
        <v>Ericka Tripp</v>
      </c>
      <c r="G823" s="2" t="str">
        <f>IF((_xlfn.XLOOKUP(C823,customers!$A$2:$A$1001,customers!$C$2:$C$1001,,,)=0),"",(_xlfn.XLOOKUP(C823,customers!$A$2:$A$1001,customers!$C$2:$C$1001,,0,)))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12"/>
        <v>26.849999999999994</v>
      </c>
      <c r="N823" t="str" cm="1">
        <f t="array" ref="N823">_xlfn.IFS(I823="rob","Robusta",I823="exc","Excesla",I823="ara","Arabica",I823="lib","Liberica")</f>
        <v>Robusta</v>
      </c>
      <c r="O823" t="str" cm="1">
        <f t="array" ref="O823">_xlfn.IFS(J823="m","Medium",J823="l","Light",J823="d","Dark")</f>
        <v>Dark</v>
      </c>
      <c r="P823" t="str">
        <f>_xlfn.XLOOKUP(orders[[#This Row],[Customer ID]],customers!$A$2:$A$1001,customers!$I$2:$I$1001,,0)</f>
        <v>No</v>
      </c>
    </row>
    <row r="824" spans="1:16" x14ac:dyDescent="0.3">
      <c r="A824" s="2" t="s">
        <v>5135</v>
      </c>
      <c r="B824" s="6">
        <v>43585</v>
      </c>
      <c r="C824" s="2" t="s">
        <v>5136</v>
      </c>
      <c r="D824" t="s">
        <v>6148</v>
      </c>
      <c r="E824" s="2">
        <v>4</v>
      </c>
      <c r="F824" s="2" t="str">
        <f>_xlfn.XLOOKUP(C824,customers!$A$1:$A$1001,customers!$B$1:$B$1001,,0,1)</f>
        <v>Lyndsey MacManus</v>
      </c>
      <c r="G824" s="2" t="str">
        <f>IF((_xlfn.XLOOKUP(C824,customers!$A$2:$A$1001,customers!$C$2:$C$1001,,,)=0),"",(_xlfn.XLOOKUP(C824,customers!$A$2:$A$1001,customers!$C$2:$C$1001,,0,)))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12"/>
        <v>136.61999999999998</v>
      </c>
      <c r="N824" t="str" cm="1">
        <f t="array" ref="N824">_xlfn.IFS(I824="rob","Robusta",I824="exc","Excesla",I824="ara","Arabica",I824="lib","Liberica")</f>
        <v>Excesla</v>
      </c>
      <c r="O824" t="str" cm="1">
        <f t="array" ref="O824">_xlfn.IFS(J824="m","Medium",J824="l","Light",J824="d","Dark")</f>
        <v>Light</v>
      </c>
      <c r="P824" t="str">
        <f>_xlfn.XLOOKUP(orders[[#This Row],[Customer ID]],customers!$A$2:$A$1001,customers!$I$2:$I$1001,,0)</f>
        <v>No</v>
      </c>
    </row>
    <row r="825" spans="1:16" x14ac:dyDescent="0.3">
      <c r="A825" s="2" t="s">
        <v>5141</v>
      </c>
      <c r="B825" s="6">
        <v>44134</v>
      </c>
      <c r="C825" s="2" t="s">
        <v>5142</v>
      </c>
      <c r="D825" t="s">
        <v>6170</v>
      </c>
      <c r="E825" s="2">
        <v>3</v>
      </c>
      <c r="F825" s="2" t="str">
        <f>_xlfn.XLOOKUP(C825,customers!$A$1:$A$1001,customers!$B$1:$B$1001,,0,1)</f>
        <v>Tess Benediktovich</v>
      </c>
      <c r="G825" s="2" t="str">
        <f>IF((_xlfn.XLOOKUP(C825,customers!$A$2:$A$1001,customers!$C$2:$C$1001,,,)=0),"",(_xlfn.XLOOKUP(C825,customers!$A$2:$A$1001,customers!$C$2:$C$1001,,0,)))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12"/>
        <v>47.55</v>
      </c>
      <c r="N825" t="str" cm="1">
        <f t="array" ref="N825">_xlfn.IFS(I825="rob","Robusta",I825="exc","Excesla",I825="ara","Arabica",I825="lib","Liberica")</f>
        <v>Liberica</v>
      </c>
      <c r="O825" t="str" cm="1">
        <f t="array" ref="O825">_xlfn.IFS(J825="m","Medium",J825="l","Light",J825="d","Dark")</f>
        <v>Light</v>
      </c>
      <c r="P825" t="str">
        <f>_xlfn.XLOOKUP(orders[[#This Row],[Customer ID]],customers!$A$2:$A$1001,customers!$I$2:$I$1001,,0)</f>
        <v>Yes</v>
      </c>
    </row>
    <row r="826" spans="1:16" x14ac:dyDescent="0.3">
      <c r="A826" s="2" t="s">
        <v>5147</v>
      </c>
      <c r="B826" s="6">
        <v>43781</v>
      </c>
      <c r="C826" s="2" t="s">
        <v>5148</v>
      </c>
      <c r="D826" t="s">
        <v>6152</v>
      </c>
      <c r="E826" s="2">
        <v>5</v>
      </c>
      <c r="F826" s="2" t="str">
        <f>_xlfn.XLOOKUP(C826,customers!$A$1:$A$1001,customers!$B$1:$B$1001,,0,1)</f>
        <v>Correy Bourner</v>
      </c>
      <c r="G826" s="2" t="str">
        <f>IF((_xlfn.XLOOKUP(C826,customers!$A$2:$A$1001,customers!$C$2:$C$1001,,,)=0),"",(_xlfn.XLOOKUP(C826,customers!$A$2:$A$1001,customers!$C$2:$C$1001,,0,)))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12"/>
        <v>16.875</v>
      </c>
      <c r="N826" t="str" cm="1">
        <f t="array" ref="N826">_xlfn.IFS(I826="rob","Robusta",I826="exc","Excesla",I826="ara","Arabica",I826="lib","Liberica")</f>
        <v>Arabica</v>
      </c>
      <c r="O826" t="str" cm="1">
        <f t="array" ref="O826">_xlfn.IFS(J826="m","Medium",J826="l","Light",J826="d","Dark")</f>
        <v>Medium</v>
      </c>
      <c r="P826" t="str">
        <f>_xlfn.XLOOKUP(orders[[#This Row],[Customer ID]],customers!$A$2:$A$1001,customers!$I$2:$I$1001,,0)</f>
        <v>Yes</v>
      </c>
    </row>
    <row r="827" spans="1:16" x14ac:dyDescent="0.3">
      <c r="A827" s="2" t="s">
        <v>5152</v>
      </c>
      <c r="B827" s="6">
        <v>44603</v>
      </c>
      <c r="C827" s="2" t="s">
        <v>5188</v>
      </c>
      <c r="D827" t="s">
        <v>6147</v>
      </c>
      <c r="E827" s="2">
        <v>3</v>
      </c>
      <c r="F827" s="2" t="str">
        <f>_xlfn.XLOOKUP(C827,customers!$A$1:$A$1001,customers!$B$1:$B$1001,,0,1)</f>
        <v>Odelia Skerme</v>
      </c>
      <c r="G827" s="2" t="str">
        <f>IF((_xlfn.XLOOKUP(C827,customers!$A$2:$A$1001,customers!$C$2:$C$1001,,,)=0),"",(_xlfn.XLOOKUP(C827,customers!$A$2:$A$1001,customers!$C$2:$C$1001,,0,)))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12"/>
        <v>29.849999999999998</v>
      </c>
      <c r="N827" t="str" cm="1">
        <f t="array" ref="N827">_xlfn.IFS(I827="rob","Robusta",I827="exc","Excesla",I827="ara","Arabica",I827="lib","Liberica")</f>
        <v>Arabica</v>
      </c>
      <c r="O827" t="str" cm="1">
        <f t="array" ref="O827">_xlfn.IFS(J827="m","Medium",J827="l","Light",J827="d","Dark")</f>
        <v>Dark</v>
      </c>
      <c r="P827" t="str">
        <f>_xlfn.XLOOKUP(orders[[#This Row],[Customer ID]],customers!$A$2:$A$1001,customers!$I$2:$I$1001,,0)</f>
        <v>Yes</v>
      </c>
    </row>
    <row r="828" spans="1:16" x14ac:dyDescent="0.3">
      <c r="A828" s="2" t="s">
        <v>5158</v>
      </c>
      <c r="B828" s="6">
        <v>44283</v>
      </c>
      <c r="C828" s="2" t="s">
        <v>5159</v>
      </c>
      <c r="D828" t="s">
        <v>6139</v>
      </c>
      <c r="E828" s="2">
        <v>5</v>
      </c>
      <c r="F828" s="2" t="str">
        <f>_xlfn.XLOOKUP(C828,customers!$A$1:$A$1001,customers!$B$1:$B$1001,,0,1)</f>
        <v>Kandy Heddan</v>
      </c>
      <c r="G828" s="2" t="str">
        <f>IF((_xlfn.XLOOKUP(C828,customers!$A$2:$A$1001,customers!$C$2:$C$1001,,,)=0),"",(_xlfn.XLOOKUP(C828,customers!$A$2:$A$1001,customers!$C$2:$C$1001,,0,)))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12"/>
        <v>41.25</v>
      </c>
      <c r="N828" t="str" cm="1">
        <f t="array" ref="N828">_xlfn.IFS(I828="rob","Robusta",I828="exc","Excesla",I828="ara","Arabica",I828="lib","Liberica")</f>
        <v>Excesla</v>
      </c>
      <c r="O828" t="str" cm="1">
        <f t="array" ref="O828">_xlfn.IFS(J828="m","Medium",J828="l","Light",J828="d","Dark")</f>
        <v>Medium</v>
      </c>
      <c r="P828" t="str">
        <f>_xlfn.XLOOKUP(orders[[#This Row],[Customer ID]],customers!$A$2:$A$1001,customers!$I$2:$I$1001,,0)</f>
        <v>Yes</v>
      </c>
    </row>
    <row r="829" spans="1:16" x14ac:dyDescent="0.3">
      <c r="A829" s="2" t="s">
        <v>5164</v>
      </c>
      <c r="B829" s="6">
        <v>44540</v>
      </c>
      <c r="C829" s="2" t="s">
        <v>5165</v>
      </c>
      <c r="D829" t="s">
        <v>6156</v>
      </c>
      <c r="E829" s="2">
        <v>5</v>
      </c>
      <c r="F829" s="2" t="str">
        <f>_xlfn.XLOOKUP(C829,customers!$A$1:$A$1001,customers!$B$1:$B$1001,,0,1)</f>
        <v>Ibby Charters</v>
      </c>
      <c r="G829" s="2" t="str">
        <f>IF((_xlfn.XLOOKUP(C829,customers!$A$2:$A$1001,customers!$C$2:$C$1001,,,)=0),"",(_xlfn.XLOOKUP(C829,customers!$A$2:$A$1001,customers!$C$2:$C$1001,,0,)))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12"/>
        <v>20.625</v>
      </c>
      <c r="N829" t="str" cm="1">
        <f t="array" ref="N829">_xlfn.IFS(I829="rob","Robusta",I829="exc","Excesla",I829="ara","Arabica",I829="lib","Liberica")</f>
        <v>Excesla</v>
      </c>
      <c r="O829" t="str" cm="1">
        <f t="array" ref="O829">_xlfn.IFS(J829="m","Medium",J829="l","Light",J829="d","Dark")</f>
        <v>Medium</v>
      </c>
      <c r="P829" t="str">
        <f>_xlfn.XLOOKUP(orders[[#This Row],[Customer ID]],customers!$A$2:$A$1001,customers!$I$2:$I$1001,,0)</f>
        <v>No</v>
      </c>
    </row>
    <row r="830" spans="1:16" x14ac:dyDescent="0.3">
      <c r="A830" s="2" t="s">
        <v>5170</v>
      </c>
      <c r="B830" s="6">
        <v>44505</v>
      </c>
      <c r="C830" s="2" t="s">
        <v>5171</v>
      </c>
      <c r="D830" t="s">
        <v>6168</v>
      </c>
      <c r="E830" s="2">
        <v>6</v>
      </c>
      <c r="F830" s="2" t="str">
        <f>_xlfn.XLOOKUP(C830,customers!$A$1:$A$1001,customers!$B$1:$B$1001,,0,1)</f>
        <v>Adora Roubert</v>
      </c>
      <c r="G830" s="2" t="str">
        <f>IF((_xlfn.XLOOKUP(C830,customers!$A$2:$A$1001,customers!$C$2:$C$1001,,,)=0),"",(_xlfn.XLOOKUP(C830,customers!$A$2:$A$1001,customers!$C$2:$C$1001,,0,)))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12"/>
        <v>137.31</v>
      </c>
      <c r="N830" t="str" cm="1">
        <f t="array" ref="N830">_xlfn.IFS(I830="rob","Robusta",I830="exc","Excesla",I830="ara","Arabica",I830="lib","Liberica")</f>
        <v>Arabica</v>
      </c>
      <c r="O830" t="str" cm="1">
        <f t="array" ref="O830">_xlfn.IFS(J830="m","Medium",J830="l","Light",J830="d","Dark")</f>
        <v>Dark</v>
      </c>
      <c r="P830" t="str">
        <f>_xlfn.XLOOKUP(orders[[#This Row],[Customer ID]],customers!$A$2:$A$1001,customers!$I$2:$I$1001,,0)</f>
        <v>Yes</v>
      </c>
    </row>
    <row r="831" spans="1:16" x14ac:dyDescent="0.3">
      <c r="A831" s="2" t="s">
        <v>5176</v>
      </c>
      <c r="B831" s="6">
        <v>43890</v>
      </c>
      <c r="C831" s="2" t="s">
        <v>5177</v>
      </c>
      <c r="D831" t="s">
        <v>6154</v>
      </c>
      <c r="E831" s="2">
        <v>1</v>
      </c>
      <c r="F831" s="2" t="str">
        <f>_xlfn.XLOOKUP(C831,customers!$A$1:$A$1001,customers!$B$1:$B$1001,,0,1)</f>
        <v>Hillel Mairs</v>
      </c>
      <c r="G831" s="2" t="str">
        <f>IF((_xlfn.XLOOKUP(C831,customers!$A$2:$A$1001,customers!$C$2:$C$1001,,,)=0),"",(_xlfn.XLOOKUP(C831,customers!$A$2:$A$1001,customers!$C$2:$C$1001,,0,)))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12"/>
        <v>2.9849999999999999</v>
      </c>
      <c r="N831" t="str" cm="1">
        <f t="array" ref="N831">_xlfn.IFS(I831="rob","Robusta",I831="exc","Excesla",I831="ara","Arabica",I831="lib","Liberica")</f>
        <v>Arabica</v>
      </c>
      <c r="O831" t="str" cm="1">
        <f t="array" ref="O831">_xlfn.IFS(J831="m","Medium",J831="l","Light",J831="d","Dark")</f>
        <v>Dark</v>
      </c>
      <c r="P831" t="str">
        <f>_xlfn.XLOOKUP(orders[[#This Row],[Customer ID]],customers!$A$2:$A$1001,customers!$I$2:$I$1001,,0)</f>
        <v>No</v>
      </c>
    </row>
    <row r="832" spans="1:16" x14ac:dyDescent="0.3">
      <c r="A832" s="2" t="s">
        <v>5182</v>
      </c>
      <c r="B832" s="6">
        <v>44414</v>
      </c>
      <c r="C832" s="2" t="s">
        <v>5183</v>
      </c>
      <c r="D832" t="s">
        <v>6141</v>
      </c>
      <c r="E832" s="2">
        <v>2</v>
      </c>
      <c r="F832" s="2" t="str">
        <f>_xlfn.XLOOKUP(C832,customers!$A$1:$A$1001,customers!$B$1:$B$1001,,0,1)</f>
        <v>Helaina Rainforth</v>
      </c>
      <c r="G832" s="2" t="str">
        <f>IF((_xlfn.XLOOKUP(C832,customers!$A$2:$A$1001,customers!$C$2:$C$1001,,,)=0),"",(_xlfn.XLOOKUP(C832,customers!$A$2:$A$1001,customers!$C$2:$C$1001,,0,)))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12"/>
        <v>27.5</v>
      </c>
      <c r="N832" t="str" cm="1">
        <f t="array" ref="N832">_xlfn.IFS(I832="rob","Robusta",I832="exc","Excesla",I832="ara","Arabica",I832="lib","Liberica")</f>
        <v>Excesla</v>
      </c>
      <c r="O832" t="str" cm="1">
        <f t="array" ref="O832">_xlfn.IFS(J832="m","Medium",J832="l","Light",J832="d","Dark")</f>
        <v>Medium</v>
      </c>
      <c r="P832" t="str">
        <f>_xlfn.XLOOKUP(orders[[#This Row],[Customer ID]],customers!$A$2:$A$1001,customers!$I$2:$I$1001,,0)</f>
        <v>No</v>
      </c>
    </row>
    <row r="833" spans="1:16" x14ac:dyDescent="0.3">
      <c r="A833" s="2" t="s">
        <v>5182</v>
      </c>
      <c r="B833" s="6">
        <v>44414</v>
      </c>
      <c r="C833" s="2" t="s">
        <v>5183</v>
      </c>
      <c r="D833" t="s">
        <v>6154</v>
      </c>
      <c r="E833" s="2">
        <v>2</v>
      </c>
      <c r="F833" s="2" t="str">
        <f>_xlfn.XLOOKUP(C833,customers!$A$1:$A$1001,customers!$B$1:$B$1001,,0,1)</f>
        <v>Helaina Rainforth</v>
      </c>
      <c r="G833" s="2" t="str">
        <f>IF((_xlfn.XLOOKUP(C833,customers!$A$2:$A$1001,customers!$C$2:$C$1001,,,)=0),"",(_xlfn.XLOOKUP(C833,customers!$A$2:$A$1001,customers!$C$2:$C$1001,,0,)))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12"/>
        <v>5.97</v>
      </c>
      <c r="N833" t="str" cm="1">
        <f t="array" ref="N833">_xlfn.IFS(I833="rob","Robusta",I833="exc","Excesla",I833="ara","Arabica",I833="lib","Liberica")</f>
        <v>Arabica</v>
      </c>
      <c r="O833" t="str" cm="1">
        <f t="array" ref="O833">_xlfn.IFS(J833="m","Medium",J833="l","Light",J833="d","Dark")</f>
        <v>Dark</v>
      </c>
      <c r="P833" t="str">
        <f>_xlfn.XLOOKUP(orders[[#This Row],[Customer ID]],customers!$A$2:$A$1001,customers!$I$2:$I$1001,,0)</f>
        <v>No</v>
      </c>
    </row>
    <row r="834" spans="1:16" x14ac:dyDescent="0.3">
      <c r="A834" s="2" t="s">
        <v>5193</v>
      </c>
      <c r="B834" s="6">
        <v>44274</v>
      </c>
      <c r="C834" s="2" t="s">
        <v>5194</v>
      </c>
      <c r="D834" t="s">
        <v>6138</v>
      </c>
      <c r="E834" s="2">
        <v>6</v>
      </c>
      <c r="F834" s="2" t="str">
        <f>_xlfn.XLOOKUP(C834,customers!$A$1:$A$1001,customers!$B$1:$B$1001,,0,1)</f>
        <v>Isac Jesper</v>
      </c>
      <c r="G834" s="2" t="str">
        <f>IF((_xlfn.XLOOKUP(C834,customers!$A$2:$A$1001,customers!$C$2:$C$1001,,,)=0),"",(_xlfn.XLOOKUP(C834,customers!$A$2:$A$1001,customers!$C$2:$C$1001,,0,)))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12"/>
        <v>59.699999999999996</v>
      </c>
      <c r="N834" t="str" cm="1">
        <f t="array" ref="N834">_xlfn.IFS(I834="rob","Robusta",I834="exc","Excesla",I834="ara","Arabica",I834="lib","Liberica")</f>
        <v>Robusta</v>
      </c>
      <c r="O834" t="str" cm="1">
        <f t="array" ref="O834">_xlfn.IFS(J834="m","Medium",J834="l","Light",J834="d","Dark")</f>
        <v>Medium</v>
      </c>
      <c r="P834" t="str">
        <f>_xlfn.XLOOKUP(orders[[#This Row],[Customer ID]],customers!$A$2:$A$1001,customers!$I$2:$I$1001,,0)</f>
        <v>No</v>
      </c>
    </row>
    <row r="835" spans="1:16" x14ac:dyDescent="0.3">
      <c r="A835" s="2" t="s">
        <v>5199</v>
      </c>
      <c r="B835" s="6">
        <v>44302</v>
      </c>
      <c r="C835" s="2" t="s">
        <v>5200</v>
      </c>
      <c r="D835" t="s">
        <v>6149</v>
      </c>
      <c r="E835" s="2">
        <v>4</v>
      </c>
      <c r="F835" s="2" t="str">
        <f>_xlfn.XLOOKUP(C835,customers!$A$1:$A$1001,customers!$B$1:$B$1001,,0,1)</f>
        <v>Lenette Dwerryhouse</v>
      </c>
      <c r="G835" s="2" t="str">
        <f>IF((_xlfn.XLOOKUP(C835,customers!$A$2:$A$1001,customers!$C$2:$C$1001,,,)=0),"",(_xlfn.XLOOKUP(C835,customers!$A$2:$A$1001,customers!$C$2:$C$1001,,0,)))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13">L835*E835</f>
        <v>82.339999999999989</v>
      </c>
      <c r="N835" t="str" cm="1">
        <f t="array" ref="N835">_xlfn.IFS(I835="rob","Robusta",I835="exc","Excesla",I835="ara","Arabica",I835="lib","Liberica")</f>
        <v>Robusta</v>
      </c>
      <c r="O835" t="str" cm="1">
        <f t="array" ref="O835">_xlfn.IFS(J835="m","Medium",J835="l","Light",J835="d","Dark")</f>
        <v>Dark</v>
      </c>
      <c r="P835" t="str">
        <f>_xlfn.XLOOKUP(orders[[#This Row],[Customer ID]],customers!$A$2:$A$1001,customers!$I$2:$I$1001,,0)</f>
        <v>Yes</v>
      </c>
    </row>
    <row r="836" spans="1:16" x14ac:dyDescent="0.3">
      <c r="A836" s="2" t="s">
        <v>5205</v>
      </c>
      <c r="B836" s="6">
        <v>44141</v>
      </c>
      <c r="C836" s="2" t="s">
        <v>5206</v>
      </c>
      <c r="D836" t="s">
        <v>6168</v>
      </c>
      <c r="E836" s="2">
        <v>1</v>
      </c>
      <c r="F836" s="2" t="str">
        <f>_xlfn.XLOOKUP(C836,customers!$A$1:$A$1001,customers!$B$1:$B$1001,,0,1)</f>
        <v>Nadeen Broomer</v>
      </c>
      <c r="G836" s="2" t="str">
        <f>IF((_xlfn.XLOOKUP(C836,customers!$A$2:$A$1001,customers!$C$2:$C$1001,,,)=0),"",(_xlfn.XLOOKUP(C836,customers!$A$2:$A$1001,customers!$C$2:$C$1001,,0,)))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13"/>
        <v>22.884999999999998</v>
      </c>
      <c r="N836" t="str" cm="1">
        <f t="array" ref="N836">_xlfn.IFS(I836="rob","Robusta",I836="exc","Excesla",I836="ara","Arabica",I836="lib","Liberica")</f>
        <v>Arabica</v>
      </c>
      <c r="O836" t="str" cm="1">
        <f t="array" ref="O836">_xlfn.IFS(J836="m","Medium",J836="l","Light",J836="d","Dark")</f>
        <v>Dark</v>
      </c>
      <c r="P836" t="str">
        <f>_xlfn.XLOOKUP(orders[[#This Row],[Customer ID]],customers!$A$2:$A$1001,customers!$I$2:$I$1001,,0)</f>
        <v>No</v>
      </c>
    </row>
    <row r="837" spans="1:16" x14ac:dyDescent="0.3">
      <c r="A837" s="2" t="s">
        <v>5211</v>
      </c>
      <c r="B837" s="6">
        <v>44270</v>
      </c>
      <c r="C837" s="2" t="s">
        <v>5212</v>
      </c>
      <c r="D837" t="s">
        <v>6176</v>
      </c>
      <c r="E837" s="2">
        <v>1</v>
      </c>
      <c r="F837" s="2" t="str">
        <f>_xlfn.XLOOKUP(C837,customers!$A$1:$A$1001,customers!$B$1:$B$1001,,0,1)</f>
        <v>Konstantine Thoumasson</v>
      </c>
      <c r="G837" s="2" t="str">
        <f>IF((_xlfn.XLOOKUP(C837,customers!$A$2:$A$1001,customers!$C$2:$C$1001,,,)=0),"",(_xlfn.XLOOKUP(C837,customers!$A$2:$A$1001,customers!$C$2:$C$1001,,0,)))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13"/>
        <v>8.91</v>
      </c>
      <c r="N837" t="str" cm="1">
        <f t="array" ref="N837">_xlfn.IFS(I837="rob","Robusta",I837="exc","Excesla",I837="ara","Arabica",I837="lib","Liberica")</f>
        <v>Excesla</v>
      </c>
      <c r="O837" t="str" cm="1">
        <f t="array" ref="O837">_xlfn.IFS(J837="m","Medium",J837="l","Light",J837="d","Dark")</f>
        <v>Light</v>
      </c>
      <c r="P837" t="str">
        <f>_xlfn.XLOOKUP(orders[[#This Row],[Customer ID]],customers!$A$2:$A$1001,customers!$I$2:$I$1001,,0)</f>
        <v>Yes</v>
      </c>
    </row>
    <row r="838" spans="1:16" x14ac:dyDescent="0.3">
      <c r="A838" s="2" t="s">
        <v>5216</v>
      </c>
      <c r="B838" s="6">
        <v>44486</v>
      </c>
      <c r="C838" s="2" t="s">
        <v>5217</v>
      </c>
      <c r="D838" t="s">
        <v>6154</v>
      </c>
      <c r="E838" s="2">
        <v>4</v>
      </c>
      <c r="F838" s="2" t="str">
        <f>_xlfn.XLOOKUP(C838,customers!$A$1:$A$1001,customers!$B$1:$B$1001,,0,1)</f>
        <v>Frans Habbergham</v>
      </c>
      <c r="G838" s="2" t="str">
        <f>IF((_xlfn.XLOOKUP(C838,customers!$A$2:$A$1001,customers!$C$2:$C$1001,,,)=0),"",(_xlfn.XLOOKUP(C838,customers!$A$2:$A$1001,customers!$C$2:$C$1001,,0,)))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13"/>
        <v>11.94</v>
      </c>
      <c r="N838" t="str" cm="1">
        <f t="array" ref="N838">_xlfn.IFS(I838="rob","Robusta",I838="exc","Excesla",I838="ara","Arabica",I838="lib","Liberica")</f>
        <v>Arabica</v>
      </c>
      <c r="O838" t="str" cm="1">
        <f t="array" ref="O838">_xlfn.IFS(J838="m","Medium",J838="l","Light",J838="d","Dark")</f>
        <v>Dark</v>
      </c>
      <c r="P838" t="str">
        <f>_xlfn.XLOOKUP(orders[[#This Row],[Customer ID]],customers!$A$2:$A$1001,customers!$I$2:$I$1001,,0)</f>
        <v>No</v>
      </c>
    </row>
    <row r="839" spans="1:16" x14ac:dyDescent="0.3">
      <c r="A839" s="2" t="s">
        <v>5222</v>
      </c>
      <c r="B839" s="6">
        <v>43715</v>
      </c>
      <c r="C839" s="2" t="s">
        <v>5113</v>
      </c>
      <c r="D839" t="s">
        <v>6181</v>
      </c>
      <c r="E839" s="2">
        <v>3</v>
      </c>
      <c r="F839" s="2" t="str">
        <f>_xlfn.XLOOKUP(C839,customers!$A$1:$A$1001,customers!$B$1:$B$1001,,0,1)</f>
        <v>Allis Wilmore</v>
      </c>
      <c r="G839" s="2" t="str">
        <f>IF((_xlfn.XLOOKUP(C839,customers!$A$2:$A$1001,customers!$C$2:$C$1001,,,)=0),"",(_xlfn.XLOOKUP(C839,customers!$A$2:$A$1001,customers!$C$2:$C$1001,,0,)))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13"/>
        <v>100.39499999999998</v>
      </c>
      <c r="N839" t="str" cm="1">
        <f t="array" ref="N839">_xlfn.IFS(I839="rob","Robusta",I839="exc","Excesla",I839="ara","Arabica",I839="lib","Liberica")</f>
        <v>Liberica</v>
      </c>
      <c r="O839" t="str" cm="1">
        <f t="array" ref="O839">_xlfn.IFS(J839="m","Medium",J839="l","Light",J839="d","Dark")</f>
        <v>Medium</v>
      </c>
      <c r="P839" t="str">
        <f>_xlfn.XLOOKUP(orders[[#This Row],[Customer ID]],customers!$A$2:$A$1001,customers!$I$2:$I$1001,,0)</f>
        <v>No</v>
      </c>
    </row>
    <row r="840" spans="1:16" x14ac:dyDescent="0.3">
      <c r="A840" s="2" t="s">
        <v>5228</v>
      </c>
      <c r="B840" s="6">
        <v>44755</v>
      </c>
      <c r="C840" s="2" t="s">
        <v>5229</v>
      </c>
      <c r="D840" t="s">
        <v>6168</v>
      </c>
      <c r="E840" s="2">
        <v>5</v>
      </c>
      <c r="F840" s="2" t="str">
        <f>_xlfn.XLOOKUP(C840,customers!$A$1:$A$1001,customers!$B$1:$B$1001,,0,1)</f>
        <v>Romain Avrashin</v>
      </c>
      <c r="G840" s="2" t="str">
        <f>IF((_xlfn.XLOOKUP(C840,customers!$A$2:$A$1001,customers!$C$2:$C$1001,,,)=0),"",(_xlfn.XLOOKUP(C840,customers!$A$2:$A$1001,customers!$C$2:$C$1001,,0,)))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13"/>
        <v>114.42499999999998</v>
      </c>
      <c r="N840" t="str" cm="1">
        <f t="array" ref="N840">_xlfn.IFS(I840="rob","Robusta",I840="exc","Excesla",I840="ara","Arabica",I840="lib","Liberica")</f>
        <v>Arabica</v>
      </c>
      <c r="O840" t="str" cm="1">
        <f t="array" ref="O840">_xlfn.IFS(J840="m","Medium",J840="l","Light",J840="d","Dark")</f>
        <v>Dark</v>
      </c>
      <c r="P840" t="str">
        <f>_xlfn.XLOOKUP(orders[[#This Row],[Customer ID]],customers!$A$2:$A$1001,customers!$I$2:$I$1001,,0)</f>
        <v>No</v>
      </c>
    </row>
    <row r="841" spans="1:16" x14ac:dyDescent="0.3">
      <c r="A841" s="2" t="s">
        <v>5234</v>
      </c>
      <c r="B841" s="6">
        <v>44521</v>
      </c>
      <c r="C841" s="2" t="s">
        <v>5235</v>
      </c>
      <c r="D841" t="s">
        <v>6139</v>
      </c>
      <c r="E841" s="2">
        <v>5</v>
      </c>
      <c r="F841" s="2" t="str">
        <f>_xlfn.XLOOKUP(C841,customers!$A$1:$A$1001,customers!$B$1:$B$1001,,0,1)</f>
        <v>Miran Doidge</v>
      </c>
      <c r="G841" s="2" t="str">
        <f>IF((_xlfn.XLOOKUP(C841,customers!$A$2:$A$1001,customers!$C$2:$C$1001,,,)=0),"",(_xlfn.XLOOKUP(C841,customers!$A$2:$A$1001,customers!$C$2:$C$1001,,0,)))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13"/>
        <v>41.25</v>
      </c>
      <c r="N841" t="str" cm="1">
        <f t="array" ref="N841">_xlfn.IFS(I841="rob","Robusta",I841="exc","Excesla",I841="ara","Arabica",I841="lib","Liberica")</f>
        <v>Excesla</v>
      </c>
      <c r="O841" t="str" cm="1">
        <f t="array" ref="O841">_xlfn.IFS(J841="m","Medium",J841="l","Light",J841="d","Dark")</f>
        <v>Medium</v>
      </c>
      <c r="P841" t="str">
        <f>_xlfn.XLOOKUP(orders[[#This Row],[Customer ID]],customers!$A$2:$A$1001,customers!$I$2:$I$1001,,0)</f>
        <v>No</v>
      </c>
    </row>
    <row r="842" spans="1:16" x14ac:dyDescent="0.3">
      <c r="A842" s="2" t="s">
        <v>5240</v>
      </c>
      <c r="B842" s="6">
        <v>44574</v>
      </c>
      <c r="C842" s="2" t="s">
        <v>5241</v>
      </c>
      <c r="D842" t="s">
        <v>6173</v>
      </c>
      <c r="E842" s="2">
        <v>4</v>
      </c>
      <c r="F842" s="2" t="str">
        <f>_xlfn.XLOOKUP(C842,customers!$A$1:$A$1001,customers!$B$1:$B$1001,,0,1)</f>
        <v>Janeva Edinboro</v>
      </c>
      <c r="G842" s="2" t="str">
        <f>IF((_xlfn.XLOOKUP(C842,customers!$A$2:$A$1001,customers!$C$2:$C$1001,,,)=0),"",(_xlfn.XLOOKUP(C842,customers!$A$2:$A$1001,customers!$C$2:$C$1001,,0,)))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13"/>
        <v>28.679999999999996</v>
      </c>
      <c r="N842" t="str" cm="1">
        <f t="array" ref="N842">_xlfn.IFS(I842="rob","Robusta",I842="exc","Excesla",I842="ara","Arabica",I842="lib","Liberica")</f>
        <v>Robusta</v>
      </c>
      <c r="O842" t="str" cm="1">
        <f t="array" ref="O842">_xlfn.IFS(J842="m","Medium",J842="l","Light",J842="d","Dark")</f>
        <v>Light</v>
      </c>
      <c r="P842" t="str">
        <f>_xlfn.XLOOKUP(orders[[#This Row],[Customer ID]],customers!$A$2:$A$1001,customers!$I$2:$I$1001,,0)</f>
        <v>Yes</v>
      </c>
    </row>
    <row r="843" spans="1:16" x14ac:dyDescent="0.3">
      <c r="A843" s="2" t="s">
        <v>5246</v>
      </c>
      <c r="B843" s="6">
        <v>44755</v>
      </c>
      <c r="C843" s="2" t="s">
        <v>5247</v>
      </c>
      <c r="D843" t="s">
        <v>6159</v>
      </c>
      <c r="E843" s="2">
        <v>1</v>
      </c>
      <c r="F843" s="2" t="str">
        <f>_xlfn.XLOOKUP(C843,customers!$A$1:$A$1001,customers!$B$1:$B$1001,,0,1)</f>
        <v>Trumaine Tewelson</v>
      </c>
      <c r="G843" s="2" t="str">
        <f>IF((_xlfn.XLOOKUP(C843,customers!$A$2:$A$1001,customers!$C$2:$C$1001,,,)=0),"",(_xlfn.XLOOKUP(C843,customers!$A$2:$A$1001,customers!$C$2:$C$1001,,0,)))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13"/>
        <v>4.3650000000000002</v>
      </c>
      <c r="N843" t="str" cm="1">
        <f t="array" ref="N843">_xlfn.IFS(I843="rob","Robusta",I843="exc","Excesla",I843="ara","Arabica",I843="lib","Liberica")</f>
        <v>Liberica</v>
      </c>
      <c r="O843" t="str" cm="1">
        <f t="array" ref="O843">_xlfn.IFS(J843="m","Medium",J843="l","Light",J843="d","Dark")</f>
        <v>Medium</v>
      </c>
      <c r="P843" t="str">
        <f>_xlfn.XLOOKUP(orders[[#This Row],[Customer ID]],customers!$A$2:$A$1001,customers!$I$2:$I$1001,,0)</f>
        <v>No</v>
      </c>
    </row>
    <row r="844" spans="1:16" x14ac:dyDescent="0.3">
      <c r="A844" s="2" t="s">
        <v>5251</v>
      </c>
      <c r="B844" s="6">
        <v>44502</v>
      </c>
      <c r="C844" s="2" t="s">
        <v>5188</v>
      </c>
      <c r="D844" t="s">
        <v>6156</v>
      </c>
      <c r="E844" s="2">
        <v>2</v>
      </c>
      <c r="F844" s="2" t="str">
        <f>_xlfn.XLOOKUP(C844,customers!$A$1:$A$1001,customers!$B$1:$B$1001,,0,1)</f>
        <v>Odelia Skerme</v>
      </c>
      <c r="G844" s="2" t="str">
        <f>IF((_xlfn.XLOOKUP(C844,customers!$A$2:$A$1001,customers!$C$2:$C$1001,,,)=0),"",(_xlfn.XLOOKUP(C844,customers!$A$2:$A$1001,customers!$C$2:$C$1001,,0,)))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13"/>
        <v>8.25</v>
      </c>
      <c r="N844" t="str" cm="1">
        <f t="array" ref="N844">_xlfn.IFS(I844="rob","Robusta",I844="exc","Excesla",I844="ara","Arabica",I844="lib","Liberica")</f>
        <v>Excesla</v>
      </c>
      <c r="O844" t="str" cm="1">
        <f t="array" ref="O844">_xlfn.IFS(J844="m","Medium",J844="l","Light",J844="d","Dark")</f>
        <v>Medium</v>
      </c>
      <c r="P844" t="str">
        <f>_xlfn.XLOOKUP(orders[[#This Row],[Customer ID]],customers!$A$2:$A$1001,customers!$I$2:$I$1001,,0)</f>
        <v>Yes</v>
      </c>
    </row>
    <row r="845" spans="1:16" x14ac:dyDescent="0.3">
      <c r="A845" s="2" t="s">
        <v>5256</v>
      </c>
      <c r="B845" s="6">
        <v>44387</v>
      </c>
      <c r="C845" s="2" t="s">
        <v>5257</v>
      </c>
      <c r="D845" t="s">
        <v>6156</v>
      </c>
      <c r="E845" s="2">
        <v>2</v>
      </c>
      <c r="F845" s="2" t="str">
        <f>_xlfn.XLOOKUP(C845,customers!$A$1:$A$1001,customers!$B$1:$B$1001,,0,1)</f>
        <v>De Drewitt</v>
      </c>
      <c r="G845" s="2" t="str">
        <f>IF((_xlfn.XLOOKUP(C845,customers!$A$2:$A$1001,customers!$C$2:$C$1001,,,)=0),"",(_xlfn.XLOOKUP(C845,customers!$A$2:$A$1001,customers!$C$2:$C$1001,,0,)))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13"/>
        <v>8.25</v>
      </c>
      <c r="N845" t="str" cm="1">
        <f t="array" ref="N845">_xlfn.IFS(I845="rob","Robusta",I845="exc","Excesla",I845="ara","Arabica",I845="lib","Liberica")</f>
        <v>Excesla</v>
      </c>
      <c r="O845" t="str" cm="1">
        <f t="array" ref="O845">_xlfn.IFS(J845="m","Medium",J845="l","Light",J845="d","Dark")</f>
        <v>Medium</v>
      </c>
      <c r="P845" t="str">
        <f>_xlfn.XLOOKUP(orders[[#This Row],[Customer ID]],customers!$A$2:$A$1001,customers!$I$2:$I$1001,,0)</f>
        <v>Yes</v>
      </c>
    </row>
    <row r="846" spans="1:16" x14ac:dyDescent="0.3">
      <c r="A846" s="2" t="s">
        <v>5262</v>
      </c>
      <c r="B846" s="6">
        <v>44476</v>
      </c>
      <c r="C846" s="2" t="s">
        <v>5263</v>
      </c>
      <c r="D846" t="s">
        <v>6158</v>
      </c>
      <c r="E846" s="2">
        <v>6</v>
      </c>
      <c r="F846" s="2" t="str">
        <f>_xlfn.XLOOKUP(C846,customers!$A$1:$A$1001,customers!$B$1:$B$1001,,0,1)</f>
        <v>Adelheid Gladhill</v>
      </c>
      <c r="G846" s="2" t="str">
        <f>IF((_xlfn.XLOOKUP(C846,customers!$A$2:$A$1001,customers!$C$2:$C$1001,,,)=0),"",(_xlfn.XLOOKUP(C846,customers!$A$2:$A$1001,customers!$C$2:$C$1001,,0,)))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13"/>
        <v>35.82</v>
      </c>
      <c r="N846" t="str" cm="1">
        <f t="array" ref="N846">_xlfn.IFS(I846="rob","Robusta",I846="exc","Excesla",I846="ara","Arabica",I846="lib","Liberica")</f>
        <v>Arabica</v>
      </c>
      <c r="O846" t="str" cm="1">
        <f t="array" ref="O846">_xlfn.IFS(J846="m","Medium",J846="l","Light",J846="d","Dark")</f>
        <v>Dark</v>
      </c>
      <c r="P846" t="str">
        <f>_xlfn.XLOOKUP(orders[[#This Row],[Customer ID]],customers!$A$2:$A$1001,customers!$I$2:$I$1001,,0)</f>
        <v>Yes</v>
      </c>
    </row>
    <row r="847" spans="1:16" x14ac:dyDescent="0.3">
      <c r="A847" s="2" t="s">
        <v>5268</v>
      </c>
      <c r="B847" s="6">
        <v>43889</v>
      </c>
      <c r="C847" s="2" t="s">
        <v>5269</v>
      </c>
      <c r="D847" t="s">
        <v>6185</v>
      </c>
      <c r="E847" s="2">
        <v>6</v>
      </c>
      <c r="F847" s="2" t="str">
        <f>_xlfn.XLOOKUP(C847,customers!$A$1:$A$1001,customers!$B$1:$B$1001,,0,1)</f>
        <v>Murielle Lorinez</v>
      </c>
      <c r="G847" s="2" t="str">
        <f>IF((_xlfn.XLOOKUP(C847,customers!$A$2:$A$1001,customers!$C$2:$C$1001,,,)=0),"",(_xlfn.XLOOKUP(C847,customers!$A$2:$A$1001,customers!$C$2:$C$1001,,0,)))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13"/>
        <v>167.67000000000002</v>
      </c>
      <c r="N847" t="str" cm="1">
        <f t="array" ref="N847">_xlfn.IFS(I847="rob","Robusta",I847="exc","Excesla",I847="ara","Arabica",I847="lib","Liberica")</f>
        <v>Excesla</v>
      </c>
      <c r="O847" t="str" cm="1">
        <f t="array" ref="O847">_xlfn.IFS(J847="m","Medium",J847="l","Light",J847="d","Dark")</f>
        <v>Dark</v>
      </c>
      <c r="P847" t="str">
        <f>_xlfn.XLOOKUP(orders[[#This Row],[Customer ID]],customers!$A$2:$A$1001,customers!$I$2:$I$1001,,0)</f>
        <v>No</v>
      </c>
    </row>
    <row r="848" spans="1:16" x14ac:dyDescent="0.3">
      <c r="A848" s="2" t="s">
        <v>5273</v>
      </c>
      <c r="B848" s="6">
        <v>44747</v>
      </c>
      <c r="C848" s="2" t="s">
        <v>5274</v>
      </c>
      <c r="D848" t="s">
        <v>6175</v>
      </c>
      <c r="E848" s="2">
        <v>2</v>
      </c>
      <c r="F848" s="2" t="str">
        <f>_xlfn.XLOOKUP(C848,customers!$A$1:$A$1001,customers!$B$1:$B$1001,,0,1)</f>
        <v>Edin Mathe</v>
      </c>
      <c r="G848" s="2" t="str">
        <f>IF((_xlfn.XLOOKUP(C848,customers!$A$2:$A$1001,customers!$C$2:$C$1001,,,)=0),"",(_xlfn.XLOOKUP(C848,customers!$A$2:$A$1001,customers!$C$2:$C$1001,,0,)))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13"/>
        <v>51.749999999999993</v>
      </c>
      <c r="N848" t="str" cm="1">
        <f t="array" ref="N848">_xlfn.IFS(I848="rob","Robusta",I848="exc","Excesla",I848="ara","Arabica",I848="lib","Liberica")</f>
        <v>Arabica</v>
      </c>
      <c r="O848" t="str" cm="1">
        <f t="array" ref="O848">_xlfn.IFS(J848="m","Medium",J848="l","Light",J848="d","Dark")</f>
        <v>Medium</v>
      </c>
      <c r="P848" t="str">
        <f>_xlfn.XLOOKUP(orders[[#This Row],[Customer ID]],customers!$A$2:$A$1001,customers!$I$2:$I$1001,,0)</f>
        <v>Yes</v>
      </c>
    </row>
    <row r="849" spans="1:16" x14ac:dyDescent="0.3">
      <c r="A849" s="2" t="s">
        <v>5278</v>
      </c>
      <c r="B849" s="6">
        <v>44460</v>
      </c>
      <c r="C849" s="2" t="s">
        <v>5279</v>
      </c>
      <c r="D849" t="s">
        <v>6154</v>
      </c>
      <c r="E849" s="2">
        <v>3</v>
      </c>
      <c r="F849" s="2" t="str">
        <f>_xlfn.XLOOKUP(C849,customers!$A$1:$A$1001,customers!$B$1:$B$1001,,0,1)</f>
        <v>Mordy Van Der Vlies</v>
      </c>
      <c r="G849" s="2" t="str">
        <f>IF((_xlfn.XLOOKUP(C849,customers!$A$2:$A$1001,customers!$C$2:$C$1001,,,)=0),"",(_xlfn.XLOOKUP(C849,customers!$A$2:$A$1001,customers!$C$2:$C$1001,,0,)))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13"/>
        <v>8.9550000000000001</v>
      </c>
      <c r="N849" t="str" cm="1">
        <f t="array" ref="N849">_xlfn.IFS(I849="rob","Robusta",I849="exc","Excesla",I849="ara","Arabica",I849="lib","Liberica")</f>
        <v>Arabica</v>
      </c>
      <c r="O849" t="str" cm="1">
        <f t="array" ref="O849">_xlfn.IFS(J849="m","Medium",J849="l","Light",J849="d","Dark")</f>
        <v>Dark</v>
      </c>
      <c r="P849" t="str">
        <f>_xlfn.XLOOKUP(orders[[#This Row],[Customer ID]],customers!$A$2:$A$1001,customers!$I$2:$I$1001,,0)</f>
        <v>Yes</v>
      </c>
    </row>
    <row r="850" spans="1:16" x14ac:dyDescent="0.3">
      <c r="A850" s="2" t="s">
        <v>5283</v>
      </c>
      <c r="B850" s="6">
        <v>43468</v>
      </c>
      <c r="C850" s="2" t="s">
        <v>5284</v>
      </c>
      <c r="D850" t="s">
        <v>6176</v>
      </c>
      <c r="E850" s="2">
        <v>6</v>
      </c>
      <c r="F850" s="2" t="str">
        <f>_xlfn.XLOOKUP(C850,customers!$A$1:$A$1001,customers!$B$1:$B$1001,,0,1)</f>
        <v>Spencer Wastell</v>
      </c>
      <c r="G850" s="2" t="str">
        <f>IF((_xlfn.XLOOKUP(C850,customers!$A$2:$A$1001,customers!$C$2:$C$1001,,,)=0),"",(_xlfn.XLOOKUP(C850,customers!$A$2:$A$1001,customers!$C$2:$C$1001,,0,)))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13"/>
        <v>53.46</v>
      </c>
      <c r="N850" t="str" cm="1">
        <f t="array" ref="N850">_xlfn.IFS(I850="rob","Robusta",I850="exc","Excesla",I850="ara","Arabica",I850="lib","Liberica")</f>
        <v>Excesla</v>
      </c>
      <c r="O850" t="str" cm="1">
        <f t="array" ref="O850">_xlfn.IFS(J850="m","Medium",J850="l","Light",J850="d","Dark")</f>
        <v>Light</v>
      </c>
      <c r="P850" t="str">
        <f>_xlfn.XLOOKUP(orders[[#This Row],[Customer ID]],customers!$A$2:$A$1001,customers!$I$2:$I$1001,,0)</f>
        <v>No</v>
      </c>
    </row>
    <row r="851" spans="1:16" x14ac:dyDescent="0.3">
      <c r="A851" s="2" t="s">
        <v>5288</v>
      </c>
      <c r="B851" s="6">
        <v>44628</v>
      </c>
      <c r="C851" s="2" t="s">
        <v>5289</v>
      </c>
      <c r="D851" t="s">
        <v>6167</v>
      </c>
      <c r="E851" s="2">
        <v>6</v>
      </c>
      <c r="F851" s="2" t="str">
        <f>_xlfn.XLOOKUP(C851,customers!$A$1:$A$1001,customers!$B$1:$B$1001,,0,1)</f>
        <v>Jemimah Ethelston</v>
      </c>
      <c r="G851" s="2" t="str">
        <f>IF((_xlfn.XLOOKUP(C851,customers!$A$2:$A$1001,customers!$C$2:$C$1001,,,)=0),"",(_xlfn.XLOOKUP(C851,customers!$A$2:$A$1001,customers!$C$2:$C$1001,,0,)))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13"/>
        <v>23.31</v>
      </c>
      <c r="N851" t="str" cm="1">
        <f t="array" ref="N851">_xlfn.IFS(I851="rob","Robusta",I851="exc","Excesla",I851="ara","Arabica",I851="lib","Liberica")</f>
        <v>Arabica</v>
      </c>
      <c r="O851" t="str" cm="1">
        <f t="array" ref="O851">_xlfn.IFS(J851="m","Medium",J851="l","Light",J851="d","Dark")</f>
        <v>Light</v>
      </c>
      <c r="P851" t="str">
        <f>_xlfn.XLOOKUP(orders[[#This Row],[Customer ID]],customers!$A$2:$A$1001,customers!$I$2:$I$1001,,0)</f>
        <v>Yes</v>
      </c>
    </row>
    <row r="852" spans="1:16" x14ac:dyDescent="0.3">
      <c r="A852" s="2" t="s">
        <v>5288</v>
      </c>
      <c r="B852" s="6">
        <v>44628</v>
      </c>
      <c r="C852" s="2" t="s">
        <v>5289</v>
      </c>
      <c r="D852" t="s">
        <v>6152</v>
      </c>
      <c r="E852" s="2">
        <v>2</v>
      </c>
      <c r="F852" s="2" t="str">
        <f>_xlfn.XLOOKUP(C852,customers!$A$1:$A$1001,customers!$B$1:$B$1001,,0,1)</f>
        <v>Jemimah Ethelston</v>
      </c>
      <c r="G852" s="2" t="str">
        <f>IF((_xlfn.XLOOKUP(C852,customers!$A$2:$A$1001,customers!$C$2:$C$1001,,,)=0),"",(_xlfn.XLOOKUP(C852,customers!$A$2:$A$1001,customers!$C$2:$C$1001,,0,)))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13"/>
        <v>6.75</v>
      </c>
      <c r="N852" t="str" cm="1">
        <f t="array" ref="N852">_xlfn.IFS(I852="rob","Robusta",I852="exc","Excesla",I852="ara","Arabica",I852="lib","Liberica")</f>
        <v>Arabica</v>
      </c>
      <c r="O852" t="str" cm="1">
        <f t="array" ref="O852">_xlfn.IFS(J852="m","Medium",J852="l","Light",J852="d","Dark")</f>
        <v>Medium</v>
      </c>
      <c r="P852" t="str">
        <f>_xlfn.XLOOKUP(orders[[#This Row],[Customer ID]],customers!$A$2:$A$1001,customers!$I$2:$I$1001,,0)</f>
        <v>Yes</v>
      </c>
    </row>
    <row r="853" spans="1:16" x14ac:dyDescent="0.3">
      <c r="A853" s="2" t="s">
        <v>5299</v>
      </c>
      <c r="B853" s="6">
        <v>43900</v>
      </c>
      <c r="C853" s="2" t="s">
        <v>5300</v>
      </c>
      <c r="D853" t="s">
        <v>6169</v>
      </c>
      <c r="E853" s="2">
        <v>1</v>
      </c>
      <c r="F853" s="2" t="str">
        <f>_xlfn.XLOOKUP(C853,customers!$A$1:$A$1001,customers!$B$1:$B$1001,,0,1)</f>
        <v>Perice Eberz</v>
      </c>
      <c r="G853" s="2" t="str">
        <f>IF((_xlfn.XLOOKUP(C853,customers!$A$2:$A$1001,customers!$C$2:$C$1001,,,)=0),"",(_xlfn.XLOOKUP(C853,customers!$A$2:$A$1001,customers!$C$2:$C$1001,,0,)))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13"/>
        <v>7.77</v>
      </c>
      <c r="N853" t="str" cm="1">
        <f t="array" ref="N853">_xlfn.IFS(I853="rob","Robusta",I853="exc","Excesla",I853="ara","Arabica",I853="lib","Liberica")</f>
        <v>Liberica</v>
      </c>
      <c r="O853" t="str" cm="1">
        <f t="array" ref="O853">_xlfn.IFS(J853="m","Medium",J853="l","Light",J853="d","Dark")</f>
        <v>Dark</v>
      </c>
      <c r="P853" t="str">
        <f>_xlfn.XLOOKUP(orders[[#This Row],[Customer ID]],customers!$A$2:$A$1001,customers!$I$2:$I$1001,,0)</f>
        <v>Yes</v>
      </c>
    </row>
    <row r="854" spans="1:16" x14ac:dyDescent="0.3">
      <c r="A854" s="2" t="s">
        <v>5305</v>
      </c>
      <c r="B854" s="6">
        <v>44527</v>
      </c>
      <c r="C854" s="2" t="s">
        <v>5306</v>
      </c>
      <c r="D854" t="s">
        <v>6165</v>
      </c>
      <c r="E854" s="2">
        <v>4</v>
      </c>
      <c r="F854" s="2" t="str">
        <f>_xlfn.XLOOKUP(C854,customers!$A$1:$A$1001,customers!$B$1:$B$1001,,0,1)</f>
        <v>Bear Gaish</v>
      </c>
      <c r="G854" s="2" t="str">
        <f>IF((_xlfn.XLOOKUP(C854,customers!$A$2:$A$1001,customers!$C$2:$C$1001,,,)=0),"",(_xlfn.XLOOKUP(C854,customers!$A$2:$A$1001,customers!$C$2:$C$1001,,0,)))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13"/>
        <v>119.13999999999999</v>
      </c>
      <c r="N854" t="str" cm="1">
        <f t="array" ref="N854">_xlfn.IFS(I854="rob","Robusta",I854="exc","Excesla",I854="ara","Arabica",I854="lib","Liberica")</f>
        <v>Liberica</v>
      </c>
      <c r="O854" t="str" cm="1">
        <f t="array" ref="O854">_xlfn.IFS(J854="m","Medium",J854="l","Light",J854="d","Dark")</f>
        <v>Dark</v>
      </c>
      <c r="P854" t="str">
        <f>_xlfn.XLOOKUP(orders[[#This Row],[Customer ID]],customers!$A$2:$A$1001,customers!$I$2:$I$1001,,0)</f>
        <v>Yes</v>
      </c>
    </row>
    <row r="855" spans="1:16" x14ac:dyDescent="0.3">
      <c r="A855" s="2" t="s">
        <v>5310</v>
      </c>
      <c r="B855" s="6">
        <v>44259</v>
      </c>
      <c r="C855" s="2" t="s">
        <v>5311</v>
      </c>
      <c r="D855" t="s">
        <v>6147</v>
      </c>
      <c r="E855" s="2">
        <v>2</v>
      </c>
      <c r="F855" s="2" t="str">
        <f>_xlfn.XLOOKUP(C855,customers!$A$1:$A$1001,customers!$B$1:$B$1001,,0,1)</f>
        <v>Lynnea Danton</v>
      </c>
      <c r="G855" s="2" t="str">
        <f>IF((_xlfn.XLOOKUP(C855,customers!$A$2:$A$1001,customers!$C$2:$C$1001,,,)=0),"",(_xlfn.XLOOKUP(C855,customers!$A$2:$A$1001,customers!$C$2:$C$1001,,0,)))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13"/>
        <v>19.899999999999999</v>
      </c>
      <c r="N855" t="str" cm="1">
        <f t="array" ref="N855">_xlfn.IFS(I855="rob","Robusta",I855="exc","Excesla",I855="ara","Arabica",I855="lib","Liberica")</f>
        <v>Arabica</v>
      </c>
      <c r="O855" t="str" cm="1">
        <f t="array" ref="O855">_xlfn.IFS(J855="m","Medium",J855="l","Light",J855="d","Dark")</f>
        <v>Dark</v>
      </c>
      <c r="P855" t="str">
        <f>_xlfn.XLOOKUP(orders[[#This Row],[Customer ID]],customers!$A$2:$A$1001,customers!$I$2:$I$1001,,0)</f>
        <v>No</v>
      </c>
    </row>
    <row r="856" spans="1:16" x14ac:dyDescent="0.3">
      <c r="A856" s="2" t="s">
        <v>5315</v>
      </c>
      <c r="B856" s="6">
        <v>44516</v>
      </c>
      <c r="C856" s="2" t="s">
        <v>5316</v>
      </c>
      <c r="D856" t="s">
        <v>6173</v>
      </c>
      <c r="E856" s="2">
        <v>5</v>
      </c>
      <c r="F856" s="2" t="str">
        <f>_xlfn.XLOOKUP(C856,customers!$A$1:$A$1001,customers!$B$1:$B$1001,,0,1)</f>
        <v>Skipton Morrall</v>
      </c>
      <c r="G856" s="2" t="str">
        <f>IF((_xlfn.XLOOKUP(C856,customers!$A$2:$A$1001,customers!$C$2:$C$1001,,,)=0),"",(_xlfn.XLOOKUP(C856,customers!$A$2:$A$1001,customers!$C$2:$C$1001,,0,)))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13"/>
        <v>35.849999999999994</v>
      </c>
      <c r="N856" t="str" cm="1">
        <f t="array" ref="N856">_xlfn.IFS(I856="rob","Robusta",I856="exc","Excesla",I856="ara","Arabica",I856="lib","Liberica")</f>
        <v>Robusta</v>
      </c>
      <c r="O856" t="str" cm="1">
        <f t="array" ref="O856">_xlfn.IFS(J856="m","Medium",J856="l","Light",J856="d","Dark")</f>
        <v>Light</v>
      </c>
      <c r="P856" t="str">
        <f>_xlfn.XLOOKUP(orders[[#This Row],[Customer ID]],customers!$A$2:$A$1001,customers!$I$2:$I$1001,,0)</f>
        <v>Yes</v>
      </c>
    </row>
    <row r="857" spans="1:16" x14ac:dyDescent="0.3">
      <c r="A857" s="2" t="s">
        <v>5321</v>
      </c>
      <c r="B857" s="6">
        <v>43632</v>
      </c>
      <c r="C857" s="2" t="s">
        <v>5322</v>
      </c>
      <c r="D857" t="s">
        <v>6165</v>
      </c>
      <c r="E857" s="2">
        <v>3</v>
      </c>
      <c r="F857" s="2" t="str">
        <f>_xlfn.XLOOKUP(C857,customers!$A$1:$A$1001,customers!$B$1:$B$1001,,0,1)</f>
        <v>Devan Crownshaw</v>
      </c>
      <c r="G857" s="2" t="str">
        <f>IF((_xlfn.XLOOKUP(C857,customers!$A$2:$A$1001,customers!$C$2:$C$1001,,,)=0),"",(_xlfn.XLOOKUP(C857,customers!$A$2:$A$1001,customers!$C$2:$C$1001,,0,)))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13"/>
        <v>89.35499999999999</v>
      </c>
      <c r="N857" t="str" cm="1">
        <f t="array" ref="N857">_xlfn.IFS(I857="rob","Robusta",I857="exc","Excesla",I857="ara","Arabica",I857="lib","Liberica")</f>
        <v>Liberica</v>
      </c>
      <c r="O857" t="str" cm="1">
        <f t="array" ref="O857">_xlfn.IFS(J857="m","Medium",J857="l","Light",J857="d","Dark")</f>
        <v>Dark</v>
      </c>
      <c r="P857" t="str">
        <f>_xlfn.XLOOKUP(orders[[#This Row],[Customer ID]],customers!$A$2:$A$1001,customers!$I$2:$I$1001,,0)</f>
        <v>No</v>
      </c>
    </row>
    <row r="858" spans="1:16" x14ac:dyDescent="0.3">
      <c r="A858" s="2" t="s">
        <v>5327</v>
      </c>
      <c r="B858" s="6">
        <v>44031</v>
      </c>
      <c r="C858" s="2" t="s">
        <v>5188</v>
      </c>
      <c r="D858" t="s">
        <v>6159</v>
      </c>
      <c r="E858" s="2">
        <v>2</v>
      </c>
      <c r="F858" s="2" t="str">
        <f>_xlfn.XLOOKUP(C858,customers!$A$1:$A$1001,customers!$B$1:$B$1001,,0,1)</f>
        <v>Odelia Skerme</v>
      </c>
      <c r="G858" s="2" t="str">
        <f>IF((_xlfn.XLOOKUP(C858,customers!$A$2:$A$1001,customers!$C$2:$C$1001,,,)=0),"",(_xlfn.XLOOKUP(C858,customers!$A$2:$A$1001,customers!$C$2:$C$1001,,0,)))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13"/>
        <v>8.73</v>
      </c>
      <c r="N858" t="str" cm="1">
        <f t="array" ref="N858">_xlfn.IFS(I858="rob","Robusta",I858="exc","Excesla",I858="ara","Arabica",I858="lib","Liberica")</f>
        <v>Liberica</v>
      </c>
      <c r="O858" t="str" cm="1">
        <f t="array" ref="O858">_xlfn.IFS(J858="m","Medium",J858="l","Light",J858="d","Dark")</f>
        <v>Medium</v>
      </c>
      <c r="P858" t="str">
        <f>_xlfn.XLOOKUP(orders[[#This Row],[Customer ID]],customers!$A$2:$A$1001,customers!$I$2:$I$1001,,0)</f>
        <v>Yes</v>
      </c>
    </row>
    <row r="859" spans="1:16" x14ac:dyDescent="0.3">
      <c r="A859" s="2" t="s">
        <v>5333</v>
      </c>
      <c r="B859" s="6">
        <v>43889</v>
      </c>
      <c r="C859" s="2" t="s">
        <v>5334</v>
      </c>
      <c r="D859" t="s">
        <v>6142</v>
      </c>
      <c r="E859" s="2">
        <v>5</v>
      </c>
      <c r="F859" s="2" t="str">
        <f>_xlfn.XLOOKUP(C859,customers!$A$1:$A$1001,customers!$B$1:$B$1001,,0,1)</f>
        <v>Joceline Reddoch</v>
      </c>
      <c r="G859" s="2" t="str">
        <f>IF((_xlfn.XLOOKUP(C859,customers!$A$2:$A$1001,customers!$C$2:$C$1001,,,)=0),"",(_xlfn.XLOOKUP(C859,customers!$A$2:$A$1001,customers!$C$2:$C$1001,,0,)))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13"/>
        <v>137.42499999999998</v>
      </c>
      <c r="N859" t="str" cm="1">
        <f t="array" ref="N859">_xlfn.IFS(I859="rob","Robusta",I859="exc","Excesla",I859="ara","Arabica",I859="lib","Liberica")</f>
        <v>Robusta</v>
      </c>
      <c r="O859" t="str" cm="1">
        <f t="array" ref="O859">_xlfn.IFS(J859="m","Medium",J859="l","Light",J859="d","Dark")</f>
        <v>Light</v>
      </c>
      <c r="P859" t="str">
        <f>_xlfn.XLOOKUP(orders[[#This Row],[Customer ID]],customers!$A$2:$A$1001,customers!$I$2:$I$1001,,0)</f>
        <v>No</v>
      </c>
    </row>
    <row r="860" spans="1:16" x14ac:dyDescent="0.3">
      <c r="A860" s="2" t="s">
        <v>5339</v>
      </c>
      <c r="B860" s="6">
        <v>43638</v>
      </c>
      <c r="C860" s="2" t="s">
        <v>5340</v>
      </c>
      <c r="D860" t="s">
        <v>6160</v>
      </c>
      <c r="E860" s="2">
        <v>4</v>
      </c>
      <c r="F860" s="2" t="str">
        <f>_xlfn.XLOOKUP(C860,customers!$A$1:$A$1001,customers!$B$1:$B$1001,,0,1)</f>
        <v>Shelley Titley</v>
      </c>
      <c r="G860" s="2" t="str">
        <f>IF((_xlfn.XLOOKUP(C860,customers!$A$2:$A$1001,customers!$C$2:$C$1001,,,)=0),"",(_xlfn.XLOOKUP(C860,customers!$A$2:$A$1001,customers!$C$2:$C$1001,,0,)))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13"/>
        <v>34.92</v>
      </c>
      <c r="N860" t="str" cm="1">
        <f t="array" ref="N860">_xlfn.IFS(I860="rob","Robusta",I860="exc","Excesla",I860="ara","Arabica",I860="lib","Liberica")</f>
        <v>Liberica</v>
      </c>
      <c r="O860" t="str" cm="1">
        <f t="array" ref="O860">_xlfn.IFS(J860="m","Medium",J860="l","Light",J860="d","Dark")</f>
        <v>Medium</v>
      </c>
      <c r="P860" t="str">
        <f>_xlfn.XLOOKUP(orders[[#This Row],[Customer ID]],customers!$A$2:$A$1001,customers!$I$2:$I$1001,,0)</f>
        <v>No</v>
      </c>
    </row>
    <row r="861" spans="1:16" x14ac:dyDescent="0.3">
      <c r="A861" s="2" t="s">
        <v>5345</v>
      </c>
      <c r="B861" s="6">
        <v>43716</v>
      </c>
      <c r="C861" s="2" t="s">
        <v>5346</v>
      </c>
      <c r="D861" t="s">
        <v>6182</v>
      </c>
      <c r="E861" s="2">
        <v>6</v>
      </c>
      <c r="F861" s="2" t="str">
        <f>_xlfn.XLOOKUP(C861,customers!$A$1:$A$1001,customers!$B$1:$B$1001,,0,1)</f>
        <v>Redd Simao</v>
      </c>
      <c r="G861" s="2" t="str">
        <f>IF((_xlfn.XLOOKUP(C861,customers!$A$2:$A$1001,customers!$C$2:$C$1001,,,)=0),"",(_xlfn.XLOOKUP(C861,customers!$A$2:$A$1001,customers!$C$2:$C$1001,,0,)))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13"/>
        <v>178.70999999999998</v>
      </c>
      <c r="N861" t="str" cm="1">
        <f t="array" ref="N861">_xlfn.IFS(I861="rob","Robusta",I861="exc","Excesla",I861="ara","Arabica",I861="lib","Liberica")</f>
        <v>Arabica</v>
      </c>
      <c r="O861" t="str" cm="1">
        <f t="array" ref="O861">_xlfn.IFS(J861="m","Medium",J861="l","Light",J861="d","Dark")</f>
        <v>Light</v>
      </c>
      <c r="P861" t="str">
        <f>_xlfn.XLOOKUP(orders[[#This Row],[Customer ID]],customers!$A$2:$A$1001,customers!$I$2:$I$1001,,0)</f>
        <v>No</v>
      </c>
    </row>
    <row r="862" spans="1:16" x14ac:dyDescent="0.3">
      <c r="A862" s="2" t="s">
        <v>5351</v>
      </c>
      <c r="B862" s="6">
        <v>44707</v>
      </c>
      <c r="C862" s="2" t="s">
        <v>5352</v>
      </c>
      <c r="D862" t="s">
        <v>6175</v>
      </c>
      <c r="E862" s="2">
        <v>1</v>
      </c>
      <c r="F862" s="2" t="str">
        <f>_xlfn.XLOOKUP(C862,customers!$A$1:$A$1001,customers!$B$1:$B$1001,,0,1)</f>
        <v>Cece Inker</v>
      </c>
      <c r="G862" s="2" t="str">
        <f>IF((_xlfn.XLOOKUP(C862,customers!$A$2:$A$1001,customers!$C$2:$C$1001,,,)=0),"",(_xlfn.XLOOKUP(C862,customers!$A$2:$A$1001,customers!$C$2:$C$1001,,0,)))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13"/>
        <v>25.874999999999996</v>
      </c>
      <c r="N862" t="str" cm="1">
        <f t="array" ref="N862">_xlfn.IFS(I862="rob","Robusta",I862="exc","Excesla",I862="ara","Arabica",I862="lib","Liberica")</f>
        <v>Arabica</v>
      </c>
      <c r="O862" t="str" cm="1">
        <f t="array" ref="O862">_xlfn.IFS(J862="m","Medium",J862="l","Light",J862="d","Dark")</f>
        <v>Medium</v>
      </c>
      <c r="P862" t="str">
        <f>_xlfn.XLOOKUP(orders[[#This Row],[Customer ID]],customers!$A$2:$A$1001,customers!$I$2:$I$1001,,0)</f>
        <v>No</v>
      </c>
    </row>
    <row r="863" spans="1:16" x14ac:dyDescent="0.3">
      <c r="A863" s="2" t="s">
        <v>5356</v>
      </c>
      <c r="B863" s="6">
        <v>43802</v>
      </c>
      <c r="C863" s="2" t="s">
        <v>5357</v>
      </c>
      <c r="D863" t="s">
        <v>6143</v>
      </c>
      <c r="E863" s="2">
        <v>6</v>
      </c>
      <c r="F863" s="2" t="str">
        <f>_xlfn.XLOOKUP(C863,customers!$A$1:$A$1001,customers!$B$1:$B$1001,,0,1)</f>
        <v>Noel Chisholm</v>
      </c>
      <c r="G863" s="2" t="str">
        <f>IF((_xlfn.XLOOKUP(C863,customers!$A$2:$A$1001,customers!$C$2:$C$1001,,,)=0),"",(_xlfn.XLOOKUP(C863,customers!$A$2:$A$1001,customers!$C$2:$C$1001,,0,)))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13"/>
        <v>77.699999999999989</v>
      </c>
      <c r="N863" t="str" cm="1">
        <f t="array" ref="N863">_xlfn.IFS(I863="rob","Robusta",I863="exc","Excesla",I863="ara","Arabica",I863="lib","Liberica")</f>
        <v>Liberica</v>
      </c>
      <c r="O863" t="str" cm="1">
        <f t="array" ref="O863">_xlfn.IFS(J863="m","Medium",J863="l","Light",J863="d","Dark")</f>
        <v>Dark</v>
      </c>
      <c r="P863" t="str">
        <f>_xlfn.XLOOKUP(orders[[#This Row],[Customer ID]],customers!$A$2:$A$1001,customers!$I$2:$I$1001,,0)</f>
        <v>Yes</v>
      </c>
    </row>
    <row r="864" spans="1:16" x14ac:dyDescent="0.3">
      <c r="A864" s="2" t="s">
        <v>5362</v>
      </c>
      <c r="B864" s="6">
        <v>43725</v>
      </c>
      <c r="C864" s="2" t="s">
        <v>5363</v>
      </c>
      <c r="D864" t="s">
        <v>6138</v>
      </c>
      <c r="E864" s="2">
        <v>1</v>
      </c>
      <c r="F864" s="2" t="str">
        <f>_xlfn.XLOOKUP(C864,customers!$A$1:$A$1001,customers!$B$1:$B$1001,,0,1)</f>
        <v>Grazia Oats</v>
      </c>
      <c r="G864" s="2" t="str">
        <f>IF((_xlfn.XLOOKUP(C864,customers!$A$2:$A$1001,customers!$C$2:$C$1001,,,)=0),"",(_xlfn.XLOOKUP(C864,customers!$A$2:$A$1001,customers!$C$2:$C$1001,,0,)))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13"/>
        <v>9.9499999999999993</v>
      </c>
      <c r="N864" t="str" cm="1">
        <f t="array" ref="N864">_xlfn.IFS(I864="rob","Robusta",I864="exc","Excesla",I864="ara","Arabica",I864="lib","Liberica")</f>
        <v>Robusta</v>
      </c>
      <c r="O864" t="str" cm="1">
        <f t="array" ref="O864">_xlfn.IFS(J864="m","Medium",J864="l","Light",J864="d","Dark")</f>
        <v>Medium</v>
      </c>
      <c r="P864" t="str">
        <f>_xlfn.XLOOKUP(orders[[#This Row],[Customer ID]],customers!$A$2:$A$1001,customers!$I$2:$I$1001,,0)</f>
        <v>Yes</v>
      </c>
    </row>
    <row r="865" spans="1:16" x14ac:dyDescent="0.3">
      <c r="A865" s="2" t="s">
        <v>5368</v>
      </c>
      <c r="B865" s="6">
        <v>44712</v>
      </c>
      <c r="C865" s="2" t="s">
        <v>5369</v>
      </c>
      <c r="D865" t="s">
        <v>6162</v>
      </c>
      <c r="E865" s="2">
        <v>2</v>
      </c>
      <c r="F865" s="2" t="str">
        <f>_xlfn.XLOOKUP(C865,customers!$A$1:$A$1001,customers!$B$1:$B$1001,,0,1)</f>
        <v>Meade Birkin</v>
      </c>
      <c r="G865" s="2" t="str">
        <f>IF((_xlfn.XLOOKUP(C865,customers!$A$2:$A$1001,customers!$C$2:$C$1001,,,)=0),"",(_xlfn.XLOOKUP(C865,customers!$A$2:$A$1001,customers!$C$2:$C$1001,,0,)))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13"/>
        <v>29.1</v>
      </c>
      <c r="N865" t="str" cm="1">
        <f t="array" ref="N865">_xlfn.IFS(I865="rob","Robusta",I865="exc","Excesla",I865="ara","Arabica",I865="lib","Liberica")</f>
        <v>Liberica</v>
      </c>
      <c r="O865" t="str" cm="1">
        <f t="array" ref="O865">_xlfn.IFS(J865="m","Medium",J865="l","Light",J865="d","Dark")</f>
        <v>Medium</v>
      </c>
      <c r="P865" t="str">
        <f>_xlfn.XLOOKUP(orders[[#This Row],[Customer ID]],customers!$A$2:$A$1001,customers!$I$2:$I$1001,,0)</f>
        <v>Yes</v>
      </c>
    </row>
    <row r="866" spans="1:16" x14ac:dyDescent="0.3">
      <c r="A866" s="2" t="s">
        <v>5374</v>
      </c>
      <c r="B866" s="6">
        <v>43759</v>
      </c>
      <c r="C866" s="2" t="s">
        <v>5375</v>
      </c>
      <c r="D866" t="s">
        <v>6178</v>
      </c>
      <c r="E866" s="2">
        <v>6</v>
      </c>
      <c r="F866" s="2" t="str">
        <f>_xlfn.XLOOKUP(C866,customers!$A$1:$A$1001,customers!$B$1:$B$1001,,0,1)</f>
        <v>Ronda Pyson</v>
      </c>
      <c r="G866" s="2" t="str">
        <f>IF((_xlfn.XLOOKUP(C866,customers!$A$2:$A$1001,customers!$C$2:$C$1001,,,)=0),"",(_xlfn.XLOOKUP(C866,customers!$A$2:$A$1001,customers!$C$2:$C$1001,,0,)))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13"/>
        <v>21.509999999999998</v>
      </c>
      <c r="N866" t="str" cm="1">
        <f t="array" ref="N866">_xlfn.IFS(I866="rob","Robusta",I866="exc","Excesla",I866="ara","Arabica",I866="lib","Liberica")</f>
        <v>Robusta</v>
      </c>
      <c r="O866" t="str" cm="1">
        <f t="array" ref="O866">_xlfn.IFS(J866="m","Medium",J866="l","Light",J866="d","Dark")</f>
        <v>Light</v>
      </c>
      <c r="P866" t="str">
        <f>_xlfn.XLOOKUP(orders[[#This Row],[Customer ID]],customers!$A$2:$A$1001,customers!$I$2:$I$1001,,0)</f>
        <v>No</v>
      </c>
    </row>
    <row r="867" spans="1:16" x14ac:dyDescent="0.3">
      <c r="A867" s="2" t="s">
        <v>5380</v>
      </c>
      <c r="B867" s="6">
        <v>44675</v>
      </c>
      <c r="C867" s="2" t="s">
        <v>5428</v>
      </c>
      <c r="D867" t="s">
        <v>6157</v>
      </c>
      <c r="E867" s="2">
        <v>1</v>
      </c>
      <c r="F867" s="2" t="str">
        <f>_xlfn.XLOOKUP(C867,customers!$A$1:$A$1001,customers!$B$1:$B$1001,,0,1)</f>
        <v>Modesty MacConnechie</v>
      </c>
      <c r="G867" s="2" t="str">
        <f>IF((_xlfn.XLOOKUP(C867,customers!$A$2:$A$1001,customers!$C$2:$C$1001,,,)=0),"",(_xlfn.XLOOKUP(C867,customers!$A$2:$A$1001,customers!$C$2:$C$1001,,0,)))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13"/>
        <v>6.75</v>
      </c>
      <c r="N867" t="str" cm="1">
        <f t="array" ref="N867">_xlfn.IFS(I867="rob","Robusta",I867="exc","Excesla",I867="ara","Arabica",I867="lib","Liberica")</f>
        <v>Arabica</v>
      </c>
      <c r="O867" t="str" cm="1">
        <f t="array" ref="O867">_xlfn.IFS(J867="m","Medium",J867="l","Light",J867="d","Dark")</f>
        <v>Medium</v>
      </c>
      <c r="P867" t="str">
        <f>_xlfn.XLOOKUP(orders[[#This Row],[Customer ID]],customers!$A$2:$A$1001,customers!$I$2:$I$1001,,0)</f>
        <v>Yes</v>
      </c>
    </row>
    <row r="868" spans="1:16" x14ac:dyDescent="0.3">
      <c r="A868" s="2" t="s">
        <v>5385</v>
      </c>
      <c r="B868" s="6">
        <v>44209</v>
      </c>
      <c r="C868" s="2" t="s">
        <v>5386</v>
      </c>
      <c r="D868" t="s">
        <v>6158</v>
      </c>
      <c r="E868" s="2">
        <v>3</v>
      </c>
      <c r="F868" s="2" t="str">
        <f>_xlfn.XLOOKUP(C868,customers!$A$1:$A$1001,customers!$B$1:$B$1001,,0,1)</f>
        <v>Rafaela Treacher</v>
      </c>
      <c r="G868" s="2" t="str">
        <f>IF((_xlfn.XLOOKUP(C868,customers!$A$2:$A$1001,customers!$C$2:$C$1001,,,)=0),"",(_xlfn.XLOOKUP(C868,customers!$A$2:$A$1001,customers!$C$2:$C$1001,,0,)))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13"/>
        <v>17.91</v>
      </c>
      <c r="N868" t="str" cm="1">
        <f t="array" ref="N868">_xlfn.IFS(I868="rob","Robusta",I868="exc","Excesla",I868="ara","Arabica",I868="lib","Liberica")</f>
        <v>Arabica</v>
      </c>
      <c r="O868" t="str" cm="1">
        <f t="array" ref="O868">_xlfn.IFS(J868="m","Medium",J868="l","Light",J868="d","Dark")</f>
        <v>Dark</v>
      </c>
      <c r="P868" t="str">
        <f>_xlfn.XLOOKUP(orders[[#This Row],[Customer ID]],customers!$A$2:$A$1001,customers!$I$2:$I$1001,,0)</f>
        <v>No</v>
      </c>
    </row>
    <row r="869" spans="1:16" x14ac:dyDescent="0.3">
      <c r="A869" s="2" t="s">
        <v>5391</v>
      </c>
      <c r="B869" s="6">
        <v>44792</v>
      </c>
      <c r="C869" s="2" t="s">
        <v>5392</v>
      </c>
      <c r="D869" t="s">
        <v>6182</v>
      </c>
      <c r="E869" s="2">
        <v>1</v>
      </c>
      <c r="F869" s="2" t="str">
        <f>_xlfn.XLOOKUP(C869,customers!$A$1:$A$1001,customers!$B$1:$B$1001,,0,1)</f>
        <v>Bee Fattorini</v>
      </c>
      <c r="G869" s="2" t="str">
        <f>IF((_xlfn.XLOOKUP(C869,customers!$A$2:$A$1001,customers!$C$2:$C$1001,,,)=0),"",(_xlfn.XLOOKUP(C869,customers!$A$2:$A$1001,customers!$C$2:$C$1001,,0,)))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13"/>
        <v>29.784999999999997</v>
      </c>
      <c r="N869" t="str" cm="1">
        <f t="array" ref="N869">_xlfn.IFS(I869="rob","Robusta",I869="exc","Excesla",I869="ara","Arabica",I869="lib","Liberica")</f>
        <v>Arabica</v>
      </c>
      <c r="O869" t="str" cm="1">
        <f t="array" ref="O869">_xlfn.IFS(J869="m","Medium",J869="l","Light",J869="d","Dark")</f>
        <v>Light</v>
      </c>
      <c r="P869" t="str">
        <f>_xlfn.XLOOKUP(orders[[#This Row],[Customer ID]],customers!$A$2:$A$1001,customers!$I$2:$I$1001,,0)</f>
        <v>Yes</v>
      </c>
    </row>
    <row r="870" spans="1:16" x14ac:dyDescent="0.3">
      <c r="A870" s="2" t="s">
        <v>5396</v>
      </c>
      <c r="B870" s="6">
        <v>43526</v>
      </c>
      <c r="C870" s="2" t="s">
        <v>5397</v>
      </c>
      <c r="D870" t="s">
        <v>6139</v>
      </c>
      <c r="E870" s="2">
        <v>5</v>
      </c>
      <c r="F870" s="2" t="str">
        <f>_xlfn.XLOOKUP(C870,customers!$A$1:$A$1001,customers!$B$1:$B$1001,,0,1)</f>
        <v>Margie Palleske</v>
      </c>
      <c r="G870" s="2" t="str">
        <f>IF((_xlfn.XLOOKUP(C870,customers!$A$2:$A$1001,customers!$C$2:$C$1001,,,)=0),"",(_xlfn.XLOOKUP(C870,customers!$A$2:$A$1001,customers!$C$2:$C$1001,,0,)))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13"/>
        <v>41.25</v>
      </c>
      <c r="N870" t="str" cm="1">
        <f t="array" ref="N870">_xlfn.IFS(I870="rob","Robusta",I870="exc","Excesla",I870="ara","Arabica",I870="lib","Liberica")</f>
        <v>Excesla</v>
      </c>
      <c r="O870" t="str" cm="1">
        <f t="array" ref="O870">_xlfn.IFS(J870="m","Medium",J870="l","Light",J870="d","Dark")</f>
        <v>Medium</v>
      </c>
      <c r="P870" t="str">
        <f>_xlfn.XLOOKUP(orders[[#This Row],[Customer ID]],customers!$A$2:$A$1001,customers!$I$2:$I$1001,,0)</f>
        <v>Yes</v>
      </c>
    </row>
    <row r="871" spans="1:16" x14ac:dyDescent="0.3">
      <c r="A871" s="2" t="s">
        <v>5402</v>
      </c>
      <c r="B871" s="6">
        <v>43851</v>
      </c>
      <c r="C871" s="2" t="s">
        <v>5403</v>
      </c>
      <c r="D871" t="s">
        <v>6146</v>
      </c>
      <c r="E871" s="2">
        <v>3</v>
      </c>
      <c r="F871" s="2" t="str">
        <f>_xlfn.XLOOKUP(C871,customers!$A$1:$A$1001,customers!$B$1:$B$1001,,0,1)</f>
        <v>Alexina Randals</v>
      </c>
      <c r="G871" s="2" t="str">
        <f>IF((_xlfn.XLOOKUP(C871,customers!$A$2:$A$1001,customers!$C$2:$C$1001,,,)=0),"",(_xlfn.XLOOKUP(C871,customers!$A$2:$A$1001,customers!$C$2:$C$1001,,0,)))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13"/>
        <v>17.91</v>
      </c>
      <c r="N871" t="str" cm="1">
        <f t="array" ref="N871">_xlfn.IFS(I871="rob","Robusta",I871="exc","Excesla",I871="ara","Arabica",I871="lib","Liberica")</f>
        <v>Robusta</v>
      </c>
      <c r="O871" t="str" cm="1">
        <f t="array" ref="O871">_xlfn.IFS(J871="m","Medium",J871="l","Light",J871="d","Dark")</f>
        <v>Medium</v>
      </c>
      <c r="P871" t="str">
        <f>_xlfn.XLOOKUP(orders[[#This Row],[Customer ID]],customers!$A$2:$A$1001,customers!$I$2:$I$1001,,0)</f>
        <v>Yes</v>
      </c>
    </row>
    <row r="872" spans="1:16" x14ac:dyDescent="0.3">
      <c r="A872" s="2" t="s">
        <v>5407</v>
      </c>
      <c r="B872" s="6">
        <v>44460</v>
      </c>
      <c r="C872" s="2" t="s">
        <v>5408</v>
      </c>
      <c r="D872" t="s">
        <v>6144</v>
      </c>
      <c r="E872" s="2">
        <v>1</v>
      </c>
      <c r="F872" s="2" t="str">
        <f>_xlfn.XLOOKUP(C872,customers!$A$1:$A$1001,customers!$B$1:$B$1001,,0,1)</f>
        <v>Filip Antcliffe</v>
      </c>
      <c r="G872" s="2" t="str">
        <f>IF((_xlfn.XLOOKUP(C872,customers!$A$2:$A$1001,customers!$C$2:$C$1001,,,)=0),"",(_xlfn.XLOOKUP(C872,customers!$A$2:$A$1001,customers!$C$2:$C$1001,,0,)))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13"/>
        <v>7.29</v>
      </c>
      <c r="N872" t="str" cm="1">
        <f t="array" ref="N872">_xlfn.IFS(I872="rob","Robusta",I872="exc","Excesla",I872="ara","Arabica",I872="lib","Liberica")</f>
        <v>Excesla</v>
      </c>
      <c r="O872" t="str" cm="1">
        <f t="array" ref="O872">_xlfn.IFS(J872="m","Medium",J872="l","Light",J872="d","Dark")</f>
        <v>Dark</v>
      </c>
      <c r="P872" t="str">
        <f>_xlfn.XLOOKUP(orders[[#This Row],[Customer ID]],customers!$A$2:$A$1001,customers!$I$2:$I$1001,,0)</f>
        <v>Yes</v>
      </c>
    </row>
    <row r="873" spans="1:16" x14ac:dyDescent="0.3">
      <c r="A873" s="2" t="s">
        <v>5413</v>
      </c>
      <c r="B873" s="6">
        <v>43707</v>
      </c>
      <c r="C873" s="2" t="s">
        <v>5414</v>
      </c>
      <c r="D873" t="s">
        <v>6171</v>
      </c>
      <c r="E873" s="2">
        <v>2</v>
      </c>
      <c r="F873" s="2" t="str">
        <f>_xlfn.XLOOKUP(C873,customers!$A$1:$A$1001,customers!$B$1:$B$1001,,0,1)</f>
        <v>Peyter Matignon</v>
      </c>
      <c r="G873" s="2" t="str">
        <f>IF((_xlfn.XLOOKUP(C873,customers!$A$2:$A$1001,customers!$C$2:$C$1001,,,)=0),"",(_xlfn.XLOOKUP(C873,customers!$A$2:$A$1001,customers!$C$2:$C$1001,,0,)))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13"/>
        <v>29.7</v>
      </c>
      <c r="N873" t="str" cm="1">
        <f t="array" ref="N873">_xlfn.IFS(I873="rob","Robusta",I873="exc","Excesla",I873="ara","Arabica",I873="lib","Liberica")</f>
        <v>Excesla</v>
      </c>
      <c r="O873" t="str" cm="1">
        <f t="array" ref="O873">_xlfn.IFS(J873="m","Medium",J873="l","Light",J873="d","Dark")</f>
        <v>Light</v>
      </c>
      <c r="P873" t="str">
        <f>_xlfn.XLOOKUP(orders[[#This Row],[Customer ID]],customers!$A$2:$A$1001,customers!$I$2:$I$1001,,0)</f>
        <v>Yes</v>
      </c>
    </row>
    <row r="874" spans="1:16" x14ac:dyDescent="0.3">
      <c r="A874" s="2" t="s">
        <v>5421</v>
      </c>
      <c r="B874" s="6">
        <v>43521</v>
      </c>
      <c r="C874" s="2" t="s">
        <v>5422</v>
      </c>
      <c r="D874" t="s">
        <v>6155</v>
      </c>
      <c r="E874" s="2">
        <v>2</v>
      </c>
      <c r="F874" s="2" t="str">
        <f>_xlfn.XLOOKUP(C874,customers!$A$1:$A$1001,customers!$B$1:$B$1001,,0,1)</f>
        <v>Claudie Weond</v>
      </c>
      <c r="G874" s="2" t="str">
        <f>IF((_xlfn.XLOOKUP(C874,customers!$A$2:$A$1001,customers!$C$2:$C$1001,,,)=0),"",(_xlfn.XLOOKUP(C874,customers!$A$2:$A$1001,customers!$C$2:$C$1001,,0,)))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13"/>
        <v>22.5</v>
      </c>
      <c r="N874" t="str" cm="1">
        <f t="array" ref="N874">_xlfn.IFS(I874="rob","Robusta",I874="exc","Excesla",I874="ara","Arabica",I874="lib","Liberica")</f>
        <v>Arabica</v>
      </c>
      <c r="O874" t="str" cm="1">
        <f t="array" ref="O874">_xlfn.IFS(J874="m","Medium",J874="l","Light",J874="d","Dark")</f>
        <v>Medium</v>
      </c>
      <c r="P874" t="str">
        <f>_xlfn.XLOOKUP(orders[[#This Row],[Customer ID]],customers!$A$2:$A$1001,customers!$I$2:$I$1001,,0)</f>
        <v>No</v>
      </c>
    </row>
    <row r="875" spans="1:16" x14ac:dyDescent="0.3">
      <c r="A875" s="2" t="s">
        <v>5427</v>
      </c>
      <c r="B875" s="6">
        <v>43725</v>
      </c>
      <c r="C875" s="2" t="s">
        <v>5428</v>
      </c>
      <c r="D875" t="s">
        <v>6174</v>
      </c>
      <c r="E875" s="2">
        <v>4</v>
      </c>
      <c r="F875" s="2" t="str">
        <f>_xlfn.XLOOKUP(C875,customers!$A$1:$A$1001,customers!$B$1:$B$1001,,0,1)</f>
        <v>Modesty MacConnechie</v>
      </c>
      <c r="G875" s="2" t="str">
        <f>IF((_xlfn.XLOOKUP(C875,customers!$A$2:$A$1001,customers!$C$2:$C$1001,,,)=0),"",(_xlfn.XLOOKUP(C875,customers!$A$2:$A$1001,customers!$C$2:$C$1001,,0,)))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13"/>
        <v>11.94</v>
      </c>
      <c r="N875" t="str" cm="1">
        <f t="array" ref="N875">_xlfn.IFS(I875="rob","Robusta",I875="exc","Excesla",I875="ara","Arabica",I875="lib","Liberica")</f>
        <v>Robusta</v>
      </c>
      <c r="O875" t="str" cm="1">
        <f t="array" ref="O875">_xlfn.IFS(J875="m","Medium",J875="l","Light",J875="d","Dark")</f>
        <v>Medium</v>
      </c>
      <c r="P875" t="str">
        <f>_xlfn.XLOOKUP(orders[[#This Row],[Customer ID]],customers!$A$2:$A$1001,customers!$I$2:$I$1001,,0)</f>
        <v>Yes</v>
      </c>
    </row>
    <row r="876" spans="1:16" x14ac:dyDescent="0.3">
      <c r="A876" s="2" t="s">
        <v>5433</v>
      </c>
      <c r="B876" s="6">
        <v>43680</v>
      </c>
      <c r="C876" s="2" t="s">
        <v>5434</v>
      </c>
      <c r="D876" t="s">
        <v>6140</v>
      </c>
      <c r="E876" s="2">
        <v>2</v>
      </c>
      <c r="F876" s="2" t="str">
        <f>_xlfn.XLOOKUP(C876,customers!$A$1:$A$1001,customers!$B$1:$B$1001,,0,1)</f>
        <v>Jaquenette Skentelbery</v>
      </c>
      <c r="G876" s="2" t="str">
        <f>IF((_xlfn.XLOOKUP(C876,customers!$A$2:$A$1001,customers!$C$2:$C$1001,,,)=0),"",(_xlfn.XLOOKUP(C876,customers!$A$2:$A$1001,customers!$C$2:$C$1001,,0,)))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13"/>
        <v>25.9</v>
      </c>
      <c r="N876" t="str" cm="1">
        <f t="array" ref="N876">_xlfn.IFS(I876="rob","Robusta",I876="exc","Excesla",I876="ara","Arabica",I876="lib","Liberica")</f>
        <v>Arabica</v>
      </c>
      <c r="O876" t="str" cm="1">
        <f t="array" ref="O876">_xlfn.IFS(J876="m","Medium",J876="l","Light",J876="d","Dark")</f>
        <v>Light</v>
      </c>
      <c r="P876" t="str">
        <f>_xlfn.XLOOKUP(orders[[#This Row],[Customer ID]],customers!$A$2:$A$1001,customers!$I$2:$I$1001,,0)</f>
        <v>No</v>
      </c>
    </row>
    <row r="877" spans="1:16" x14ac:dyDescent="0.3">
      <c r="A877" s="2" t="s">
        <v>5439</v>
      </c>
      <c r="B877" s="6">
        <v>44253</v>
      </c>
      <c r="C877" s="2" t="s">
        <v>5440</v>
      </c>
      <c r="D877" t="s">
        <v>6160</v>
      </c>
      <c r="E877" s="2">
        <v>5</v>
      </c>
      <c r="F877" s="2" t="str">
        <f>_xlfn.XLOOKUP(C877,customers!$A$1:$A$1001,customers!$B$1:$B$1001,,0,1)</f>
        <v>Orazio Comber</v>
      </c>
      <c r="G877" s="2" t="str">
        <f>IF((_xlfn.XLOOKUP(C877,customers!$A$2:$A$1001,customers!$C$2:$C$1001,,,)=0),"",(_xlfn.XLOOKUP(C877,customers!$A$2:$A$1001,customers!$C$2:$C$1001,,0,)))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13"/>
        <v>43.650000000000006</v>
      </c>
      <c r="N877" t="str" cm="1">
        <f t="array" ref="N877">_xlfn.IFS(I877="rob","Robusta",I877="exc","Excesla",I877="ara","Arabica",I877="lib","Liberica")</f>
        <v>Liberica</v>
      </c>
      <c r="O877" t="str" cm="1">
        <f t="array" ref="O877">_xlfn.IFS(J877="m","Medium",J877="l","Light",J877="d","Dark")</f>
        <v>Medium</v>
      </c>
      <c r="P877" t="str">
        <f>_xlfn.XLOOKUP(orders[[#This Row],[Customer ID]],customers!$A$2:$A$1001,customers!$I$2:$I$1001,,0)</f>
        <v>No</v>
      </c>
    </row>
    <row r="878" spans="1:16" x14ac:dyDescent="0.3">
      <c r="A878" s="2" t="s">
        <v>5439</v>
      </c>
      <c r="B878" s="6">
        <v>44253</v>
      </c>
      <c r="C878" s="2" t="s">
        <v>5440</v>
      </c>
      <c r="D878" t="s">
        <v>6180</v>
      </c>
      <c r="E878" s="2">
        <v>6</v>
      </c>
      <c r="F878" s="2" t="str">
        <f>_xlfn.XLOOKUP(C878,customers!$A$1:$A$1001,customers!$B$1:$B$1001,,0,1)</f>
        <v>Orazio Comber</v>
      </c>
      <c r="G878" s="2" t="str">
        <f>IF((_xlfn.XLOOKUP(C878,customers!$A$2:$A$1001,customers!$C$2:$C$1001,,,)=0),"",(_xlfn.XLOOKUP(C878,customers!$A$2:$A$1001,customers!$C$2:$C$1001,,0,)))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13"/>
        <v>46.62</v>
      </c>
      <c r="N878" t="str" cm="1">
        <f t="array" ref="N878">_xlfn.IFS(I878="rob","Robusta",I878="exc","Excesla",I878="ara","Arabica",I878="lib","Liberica")</f>
        <v>Arabica</v>
      </c>
      <c r="O878" t="str" cm="1">
        <f t="array" ref="O878">_xlfn.IFS(J878="m","Medium",J878="l","Light",J878="d","Dark")</f>
        <v>Light</v>
      </c>
      <c r="P878" t="str">
        <f>_xlfn.XLOOKUP(orders[[#This Row],[Customer ID]],customers!$A$2:$A$1001,customers!$I$2:$I$1001,,0)</f>
        <v>No</v>
      </c>
    </row>
    <row r="879" spans="1:16" x14ac:dyDescent="0.3">
      <c r="A879" s="2" t="s">
        <v>5450</v>
      </c>
      <c r="B879" s="6">
        <v>44411</v>
      </c>
      <c r="C879" s="2" t="s">
        <v>5451</v>
      </c>
      <c r="D879" t="s">
        <v>6161</v>
      </c>
      <c r="E879" s="2">
        <v>3</v>
      </c>
      <c r="F879" s="2" t="str">
        <f>_xlfn.XLOOKUP(C879,customers!$A$1:$A$1001,customers!$B$1:$B$1001,,0,1)</f>
        <v>Zachary Tramel</v>
      </c>
      <c r="G879" s="2" t="str">
        <f>IF((_xlfn.XLOOKUP(C879,customers!$A$2:$A$1001,customers!$C$2:$C$1001,,,)=0),"",(_xlfn.XLOOKUP(C879,customers!$A$2:$A$1001,customers!$C$2:$C$1001,,0,)))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13"/>
        <v>28.53</v>
      </c>
      <c r="N879" t="str" cm="1">
        <f t="array" ref="N879">_xlfn.IFS(I879="rob","Robusta",I879="exc","Excesla",I879="ara","Arabica",I879="lib","Liberica")</f>
        <v>Liberica</v>
      </c>
      <c r="O879" t="str" cm="1">
        <f t="array" ref="O879">_xlfn.IFS(J879="m","Medium",J879="l","Light",J879="d","Dark")</f>
        <v>Light</v>
      </c>
      <c r="P879" t="str">
        <f>_xlfn.XLOOKUP(orders[[#This Row],[Customer ID]],customers!$A$2:$A$1001,customers!$I$2:$I$1001,,0)</f>
        <v>No</v>
      </c>
    </row>
    <row r="880" spans="1:16" x14ac:dyDescent="0.3">
      <c r="A880" s="2" t="s">
        <v>5456</v>
      </c>
      <c r="B880" s="6">
        <v>44323</v>
      </c>
      <c r="C880" s="2" t="s">
        <v>5457</v>
      </c>
      <c r="D880" t="s">
        <v>6142</v>
      </c>
      <c r="E880" s="2">
        <v>1</v>
      </c>
      <c r="F880" s="2" t="str">
        <f>_xlfn.XLOOKUP(C880,customers!$A$1:$A$1001,customers!$B$1:$B$1001,,0,1)</f>
        <v>Izaak Primak</v>
      </c>
      <c r="G880" s="2" t="str">
        <f>IF((_xlfn.XLOOKUP(C880,customers!$A$2:$A$1001,customers!$C$2:$C$1001,,,)=0),"",(_xlfn.XLOOKUP(C880,customers!$A$2:$A$1001,customers!$C$2:$C$1001,,0,)))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13"/>
        <v>27.484999999999996</v>
      </c>
      <c r="N880" t="str" cm="1">
        <f t="array" ref="N880">_xlfn.IFS(I880="rob","Robusta",I880="exc","Excesla",I880="ara","Arabica",I880="lib","Liberica")</f>
        <v>Robusta</v>
      </c>
      <c r="O880" t="str" cm="1">
        <f t="array" ref="O880">_xlfn.IFS(J880="m","Medium",J880="l","Light",J880="d","Dark")</f>
        <v>Light</v>
      </c>
      <c r="P880" t="str">
        <f>_xlfn.XLOOKUP(orders[[#This Row],[Customer ID]],customers!$A$2:$A$1001,customers!$I$2:$I$1001,,0)</f>
        <v>Yes</v>
      </c>
    </row>
    <row r="881" spans="1:16" x14ac:dyDescent="0.3">
      <c r="A881" s="2" t="s">
        <v>5461</v>
      </c>
      <c r="B881" s="6">
        <v>43630</v>
      </c>
      <c r="C881" s="2" t="s">
        <v>5462</v>
      </c>
      <c r="D881" t="s">
        <v>6153</v>
      </c>
      <c r="E881" s="2">
        <v>3</v>
      </c>
      <c r="F881" s="2" t="str">
        <f>_xlfn.XLOOKUP(C881,customers!$A$1:$A$1001,customers!$B$1:$B$1001,,0,1)</f>
        <v>Brittani Thoresbie</v>
      </c>
      <c r="G881" s="2" t="str">
        <f>IF((_xlfn.XLOOKUP(C881,customers!$A$2:$A$1001,customers!$C$2:$C$1001,,,)=0),"",(_xlfn.XLOOKUP(C881,customers!$A$2:$A$1001,customers!$C$2:$C$1001,,0,)))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13"/>
        <v>10.935</v>
      </c>
      <c r="N881" t="str" cm="1">
        <f t="array" ref="N881">_xlfn.IFS(I881="rob","Robusta",I881="exc","Excesla",I881="ara","Arabica",I881="lib","Liberica")</f>
        <v>Excesla</v>
      </c>
      <c r="O881" t="str" cm="1">
        <f t="array" ref="O881">_xlfn.IFS(J881="m","Medium",J881="l","Light",J881="d","Dark")</f>
        <v>Dark</v>
      </c>
      <c r="P881" t="str">
        <f>_xlfn.XLOOKUP(orders[[#This Row],[Customer ID]],customers!$A$2:$A$1001,customers!$I$2:$I$1001,,0)</f>
        <v>No</v>
      </c>
    </row>
    <row r="882" spans="1:16" x14ac:dyDescent="0.3">
      <c r="A882" s="2" t="s">
        <v>5466</v>
      </c>
      <c r="B882" s="6">
        <v>43790</v>
      </c>
      <c r="C882" s="2" t="s">
        <v>5467</v>
      </c>
      <c r="D882" t="s">
        <v>6178</v>
      </c>
      <c r="E882" s="2">
        <v>2</v>
      </c>
      <c r="F882" s="2" t="str">
        <f>_xlfn.XLOOKUP(C882,customers!$A$1:$A$1001,customers!$B$1:$B$1001,,0,1)</f>
        <v>Constanta Hatfull</v>
      </c>
      <c r="G882" s="2" t="str">
        <f>IF((_xlfn.XLOOKUP(C882,customers!$A$2:$A$1001,customers!$C$2:$C$1001,,,)=0),"",(_xlfn.XLOOKUP(C882,customers!$A$2:$A$1001,customers!$C$2:$C$1001,,0,)))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13"/>
        <v>7.169999999999999</v>
      </c>
      <c r="N882" t="str" cm="1">
        <f t="array" ref="N882">_xlfn.IFS(I882="rob","Robusta",I882="exc","Excesla",I882="ara","Arabica",I882="lib","Liberica")</f>
        <v>Robusta</v>
      </c>
      <c r="O882" t="str" cm="1">
        <f t="array" ref="O882">_xlfn.IFS(J882="m","Medium",J882="l","Light",J882="d","Dark")</f>
        <v>Light</v>
      </c>
      <c r="P882" t="str">
        <f>_xlfn.XLOOKUP(orders[[#This Row],[Customer ID]],customers!$A$2:$A$1001,customers!$I$2:$I$1001,,0)</f>
        <v>No</v>
      </c>
    </row>
    <row r="883" spans="1:16" x14ac:dyDescent="0.3">
      <c r="A883" s="2" t="s">
        <v>5472</v>
      </c>
      <c r="B883" s="6">
        <v>44286</v>
      </c>
      <c r="C883" s="2" t="s">
        <v>5473</v>
      </c>
      <c r="D883" t="s">
        <v>6167</v>
      </c>
      <c r="E883" s="2">
        <v>6</v>
      </c>
      <c r="F883" s="2" t="str">
        <f>_xlfn.XLOOKUP(C883,customers!$A$1:$A$1001,customers!$B$1:$B$1001,,0,1)</f>
        <v>Bobbe Castagneto</v>
      </c>
      <c r="G883" s="2" t="str">
        <f>IF((_xlfn.XLOOKUP(C883,customers!$A$2:$A$1001,customers!$C$2:$C$1001,,,)=0),"",(_xlfn.XLOOKUP(C883,customers!$A$2:$A$1001,customers!$C$2:$C$1001,,0,)))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13"/>
        <v>23.31</v>
      </c>
      <c r="N883" t="str" cm="1">
        <f t="array" ref="N883">_xlfn.IFS(I883="rob","Robusta",I883="exc","Excesla",I883="ara","Arabica",I883="lib","Liberica")</f>
        <v>Arabica</v>
      </c>
      <c r="O883" t="str" cm="1">
        <f t="array" ref="O883">_xlfn.IFS(J883="m","Medium",J883="l","Light",J883="d","Dark")</f>
        <v>Light</v>
      </c>
      <c r="P883" t="str">
        <f>_xlfn.XLOOKUP(orders[[#This Row],[Customer ID]],customers!$A$2:$A$1001,customers!$I$2:$I$1001,,0)</f>
        <v>Yes</v>
      </c>
    </row>
    <row r="884" spans="1:16" x14ac:dyDescent="0.3">
      <c r="A884" s="2" t="s">
        <v>5477</v>
      </c>
      <c r="B884" s="6">
        <v>43647</v>
      </c>
      <c r="C884" s="2" t="s">
        <v>5526</v>
      </c>
      <c r="D884" t="s">
        <v>6168</v>
      </c>
      <c r="E884" s="2">
        <v>5</v>
      </c>
      <c r="F884" s="2" t="str">
        <f>_xlfn.XLOOKUP(C884,customers!$A$1:$A$1001,customers!$B$1:$B$1001,,0,1)</f>
        <v>Kippie Marrison</v>
      </c>
      <c r="G884" s="2" t="str">
        <f>IF((_xlfn.XLOOKUP(C884,customers!$A$2:$A$1001,customers!$C$2:$C$1001,,,)=0),"",(_xlfn.XLOOKUP(C884,customers!$A$2:$A$1001,customers!$C$2:$C$1001,,0,)))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13"/>
        <v>114.42499999999998</v>
      </c>
      <c r="N884" t="str" cm="1">
        <f t="array" ref="N884">_xlfn.IFS(I884="rob","Robusta",I884="exc","Excesla",I884="ara","Arabica",I884="lib","Liberica")</f>
        <v>Arabica</v>
      </c>
      <c r="O884" t="str" cm="1">
        <f t="array" ref="O884">_xlfn.IFS(J884="m","Medium",J884="l","Light",J884="d","Dark")</f>
        <v>Dark</v>
      </c>
      <c r="P884" t="str">
        <f>_xlfn.XLOOKUP(orders[[#This Row],[Customer ID]],customers!$A$2:$A$1001,customers!$I$2:$I$1001,,0)</f>
        <v>Yes</v>
      </c>
    </row>
    <row r="885" spans="1:16" x14ac:dyDescent="0.3">
      <c r="A885" s="2" t="s">
        <v>5483</v>
      </c>
      <c r="B885" s="6">
        <v>43956</v>
      </c>
      <c r="C885" s="2" t="s">
        <v>5484</v>
      </c>
      <c r="D885" t="s">
        <v>6175</v>
      </c>
      <c r="E885" s="2">
        <v>3</v>
      </c>
      <c r="F885" s="2" t="str">
        <f>_xlfn.XLOOKUP(C885,customers!$A$1:$A$1001,customers!$B$1:$B$1001,,0,1)</f>
        <v>Lindon Agnolo</v>
      </c>
      <c r="G885" s="2" t="str">
        <f>IF((_xlfn.XLOOKUP(C885,customers!$A$2:$A$1001,customers!$C$2:$C$1001,,,)=0),"",(_xlfn.XLOOKUP(C885,customers!$A$2:$A$1001,customers!$C$2:$C$1001,,0,)))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13"/>
        <v>77.624999999999986</v>
      </c>
      <c r="N885" t="str" cm="1">
        <f t="array" ref="N885">_xlfn.IFS(I885="rob","Robusta",I885="exc","Excesla",I885="ara","Arabica",I885="lib","Liberica")</f>
        <v>Arabica</v>
      </c>
      <c r="O885" t="str" cm="1">
        <f t="array" ref="O885">_xlfn.IFS(J885="m","Medium",J885="l","Light",J885="d","Dark")</f>
        <v>Medium</v>
      </c>
      <c r="P885" t="str">
        <f>_xlfn.XLOOKUP(orders[[#This Row],[Customer ID]],customers!$A$2:$A$1001,customers!$I$2:$I$1001,,0)</f>
        <v>Yes</v>
      </c>
    </row>
    <row r="886" spans="1:16" x14ac:dyDescent="0.3">
      <c r="A886" s="2" t="s">
        <v>5489</v>
      </c>
      <c r="B886" s="6">
        <v>43941</v>
      </c>
      <c r="C886" s="2" t="s">
        <v>5490</v>
      </c>
      <c r="D886" t="s">
        <v>6172</v>
      </c>
      <c r="E886" s="2">
        <v>1</v>
      </c>
      <c r="F886" s="2" t="str">
        <f>_xlfn.XLOOKUP(C886,customers!$A$1:$A$1001,customers!$B$1:$B$1001,,0,1)</f>
        <v>Delainey Kiddy</v>
      </c>
      <c r="G886" s="2" t="str">
        <f>IF((_xlfn.XLOOKUP(C886,customers!$A$2:$A$1001,customers!$C$2:$C$1001,,,)=0),"",(_xlfn.XLOOKUP(C886,customers!$A$2:$A$1001,customers!$C$2:$C$1001,,0,)))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13"/>
        <v>5.3699999999999992</v>
      </c>
      <c r="N886" t="str" cm="1">
        <f t="array" ref="N886">_xlfn.IFS(I886="rob","Robusta",I886="exc","Excesla",I886="ara","Arabica",I886="lib","Liberica")</f>
        <v>Robusta</v>
      </c>
      <c r="O886" t="str" cm="1">
        <f t="array" ref="O886">_xlfn.IFS(J886="m","Medium",J886="l","Light",J886="d","Dark")</f>
        <v>Dark</v>
      </c>
      <c r="P886" t="str">
        <f>_xlfn.XLOOKUP(orders[[#This Row],[Customer ID]],customers!$A$2:$A$1001,customers!$I$2:$I$1001,,0)</f>
        <v>Yes</v>
      </c>
    </row>
    <row r="887" spans="1:16" x14ac:dyDescent="0.3">
      <c r="A887" s="2" t="s">
        <v>5495</v>
      </c>
      <c r="B887" s="6">
        <v>43664</v>
      </c>
      <c r="C887" s="2" t="s">
        <v>5496</v>
      </c>
      <c r="D887" t="s">
        <v>6149</v>
      </c>
      <c r="E887" s="2">
        <v>6</v>
      </c>
      <c r="F887" s="2" t="str">
        <f>_xlfn.XLOOKUP(C887,customers!$A$1:$A$1001,customers!$B$1:$B$1001,,0,1)</f>
        <v>Helli Petroulis</v>
      </c>
      <c r="G887" s="2" t="str">
        <f>IF((_xlfn.XLOOKUP(C887,customers!$A$2:$A$1001,customers!$C$2:$C$1001,,,)=0),"",(_xlfn.XLOOKUP(C887,customers!$A$2:$A$1001,customers!$C$2:$C$1001,,0,)))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13"/>
        <v>123.50999999999999</v>
      </c>
      <c r="N887" t="str" cm="1">
        <f t="array" ref="N887">_xlfn.IFS(I887="rob","Robusta",I887="exc","Excesla",I887="ara","Arabica",I887="lib","Liberica")</f>
        <v>Robusta</v>
      </c>
      <c r="O887" t="str" cm="1">
        <f t="array" ref="O887">_xlfn.IFS(J887="m","Medium",J887="l","Light",J887="d","Dark")</f>
        <v>Dark</v>
      </c>
      <c r="P887" t="str">
        <f>_xlfn.XLOOKUP(orders[[#This Row],[Customer ID]],customers!$A$2:$A$1001,customers!$I$2:$I$1001,,0)</f>
        <v>No</v>
      </c>
    </row>
    <row r="888" spans="1:16" x14ac:dyDescent="0.3">
      <c r="A888" s="2" t="s">
        <v>5501</v>
      </c>
      <c r="B888" s="6">
        <v>44518</v>
      </c>
      <c r="C888" s="2" t="s">
        <v>5502</v>
      </c>
      <c r="D888" t="s">
        <v>6160</v>
      </c>
      <c r="E888" s="2">
        <v>2</v>
      </c>
      <c r="F888" s="2" t="str">
        <f>_xlfn.XLOOKUP(C888,customers!$A$1:$A$1001,customers!$B$1:$B$1001,,0,1)</f>
        <v>Marty Scholl</v>
      </c>
      <c r="G888" s="2" t="str">
        <f>IF((_xlfn.XLOOKUP(C888,customers!$A$2:$A$1001,customers!$C$2:$C$1001,,,)=0),"",(_xlfn.XLOOKUP(C888,customers!$A$2:$A$1001,customers!$C$2:$C$1001,,0,)))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13"/>
        <v>17.46</v>
      </c>
      <c r="N888" t="str" cm="1">
        <f t="array" ref="N888">_xlfn.IFS(I888="rob","Robusta",I888="exc","Excesla",I888="ara","Arabica",I888="lib","Liberica")</f>
        <v>Liberica</v>
      </c>
      <c r="O888" t="str" cm="1">
        <f t="array" ref="O888">_xlfn.IFS(J888="m","Medium",J888="l","Light",J888="d","Dark")</f>
        <v>Medium</v>
      </c>
      <c r="P888" t="str">
        <f>_xlfn.XLOOKUP(orders[[#This Row],[Customer ID]],customers!$A$2:$A$1001,customers!$I$2:$I$1001,,0)</f>
        <v>No</v>
      </c>
    </row>
    <row r="889" spans="1:16" x14ac:dyDescent="0.3">
      <c r="A889" s="2" t="s">
        <v>5507</v>
      </c>
      <c r="B889" s="6">
        <v>44002</v>
      </c>
      <c r="C889" s="2" t="s">
        <v>5508</v>
      </c>
      <c r="D889" t="s">
        <v>6184</v>
      </c>
      <c r="E889" s="2">
        <v>3</v>
      </c>
      <c r="F889" s="2" t="str">
        <f>_xlfn.XLOOKUP(C889,customers!$A$1:$A$1001,customers!$B$1:$B$1001,,0,1)</f>
        <v>Kienan Ferson</v>
      </c>
      <c r="G889" s="2" t="str">
        <f>IF((_xlfn.XLOOKUP(C889,customers!$A$2:$A$1001,customers!$C$2:$C$1001,,,)=0),"",(_xlfn.XLOOKUP(C889,customers!$A$2:$A$1001,customers!$C$2:$C$1001,,0,)))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13"/>
        <v>13.365</v>
      </c>
      <c r="N889" t="str" cm="1">
        <f t="array" ref="N889">_xlfn.IFS(I889="rob","Robusta",I889="exc","Excesla",I889="ara","Arabica",I889="lib","Liberica")</f>
        <v>Excesla</v>
      </c>
      <c r="O889" t="str" cm="1">
        <f t="array" ref="O889">_xlfn.IFS(J889="m","Medium",J889="l","Light",J889="d","Dark")</f>
        <v>Light</v>
      </c>
      <c r="P889" t="str">
        <f>_xlfn.XLOOKUP(orders[[#This Row],[Customer ID]],customers!$A$2:$A$1001,customers!$I$2:$I$1001,,0)</f>
        <v>No</v>
      </c>
    </row>
    <row r="890" spans="1:16" x14ac:dyDescent="0.3">
      <c r="A890" s="2" t="s">
        <v>5513</v>
      </c>
      <c r="B890" s="6">
        <v>44292</v>
      </c>
      <c r="C890" s="2" t="s">
        <v>5514</v>
      </c>
      <c r="D890" t="s">
        <v>6167</v>
      </c>
      <c r="E890" s="2">
        <v>2</v>
      </c>
      <c r="F890" s="2" t="str">
        <f>_xlfn.XLOOKUP(C890,customers!$A$1:$A$1001,customers!$B$1:$B$1001,,0,1)</f>
        <v>Blake Kelloway</v>
      </c>
      <c r="G890" s="2" t="str">
        <f>IF((_xlfn.XLOOKUP(C890,customers!$A$2:$A$1001,customers!$C$2:$C$1001,,,)=0),"",(_xlfn.XLOOKUP(C890,customers!$A$2:$A$1001,customers!$C$2:$C$1001,,0,)))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13"/>
        <v>7.77</v>
      </c>
      <c r="N890" t="str" cm="1">
        <f t="array" ref="N890">_xlfn.IFS(I890="rob","Robusta",I890="exc","Excesla",I890="ara","Arabica",I890="lib","Liberica")</f>
        <v>Arabica</v>
      </c>
      <c r="O890" t="str" cm="1">
        <f t="array" ref="O890">_xlfn.IFS(J890="m","Medium",J890="l","Light",J890="d","Dark")</f>
        <v>Light</v>
      </c>
      <c r="P890" t="str">
        <f>_xlfn.XLOOKUP(orders[[#This Row],[Customer ID]],customers!$A$2:$A$1001,customers!$I$2:$I$1001,,0)</f>
        <v>Yes</v>
      </c>
    </row>
    <row r="891" spans="1:16" x14ac:dyDescent="0.3">
      <c r="A891" s="2" t="s">
        <v>5519</v>
      </c>
      <c r="B891" s="6">
        <v>43633</v>
      </c>
      <c r="C891" s="2" t="s">
        <v>5520</v>
      </c>
      <c r="D891" t="s">
        <v>6163</v>
      </c>
      <c r="E891" s="2">
        <v>1</v>
      </c>
      <c r="F891" s="2" t="str">
        <f>_xlfn.XLOOKUP(C891,customers!$A$1:$A$1001,customers!$B$1:$B$1001,,0,1)</f>
        <v>Scarlett Oliffe</v>
      </c>
      <c r="G891" s="2" t="str">
        <f>IF((_xlfn.XLOOKUP(C891,customers!$A$2:$A$1001,customers!$C$2:$C$1001,,,)=0),"",(_xlfn.XLOOKUP(C891,customers!$A$2:$A$1001,customers!$C$2:$C$1001,,0,)))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13"/>
        <v>2.6849999999999996</v>
      </c>
      <c r="N891" t="str" cm="1">
        <f t="array" ref="N891">_xlfn.IFS(I891="rob","Robusta",I891="exc","Excesla",I891="ara","Arabica",I891="lib","Liberica")</f>
        <v>Robusta</v>
      </c>
      <c r="O891" t="str" cm="1">
        <f t="array" ref="O891">_xlfn.IFS(J891="m","Medium",J891="l","Light",J891="d","Dark")</f>
        <v>Dark</v>
      </c>
      <c r="P891" t="str">
        <f>_xlfn.XLOOKUP(orders[[#This Row],[Customer ID]],customers!$A$2:$A$1001,customers!$I$2:$I$1001,,0)</f>
        <v>Yes</v>
      </c>
    </row>
    <row r="892" spans="1:16" x14ac:dyDescent="0.3">
      <c r="A892" s="2" t="s">
        <v>5525</v>
      </c>
      <c r="B892" s="6">
        <v>44646</v>
      </c>
      <c r="C892" s="2" t="s">
        <v>5526</v>
      </c>
      <c r="D892" t="s">
        <v>6149</v>
      </c>
      <c r="E892" s="2">
        <v>1</v>
      </c>
      <c r="F892" s="2" t="str">
        <f>_xlfn.XLOOKUP(C892,customers!$A$1:$A$1001,customers!$B$1:$B$1001,,0,1)</f>
        <v>Kippie Marrison</v>
      </c>
      <c r="G892" s="2" t="str">
        <f>IF((_xlfn.XLOOKUP(C892,customers!$A$2:$A$1001,customers!$C$2:$C$1001,,,)=0),"",(_xlfn.XLOOKUP(C892,customers!$A$2:$A$1001,customers!$C$2:$C$1001,,0,)))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13"/>
        <v>20.584999999999997</v>
      </c>
      <c r="N892" t="str" cm="1">
        <f t="array" ref="N892">_xlfn.IFS(I892="rob","Robusta",I892="exc","Excesla",I892="ara","Arabica",I892="lib","Liberica")</f>
        <v>Robusta</v>
      </c>
      <c r="O892" t="str" cm="1">
        <f t="array" ref="O892">_xlfn.IFS(J892="m","Medium",J892="l","Light",J892="d","Dark")</f>
        <v>Dark</v>
      </c>
      <c r="P892" t="str">
        <f>_xlfn.XLOOKUP(orders[[#This Row],[Customer ID]],customers!$A$2:$A$1001,customers!$I$2:$I$1001,,0)</f>
        <v>Yes</v>
      </c>
    </row>
    <row r="893" spans="1:16" x14ac:dyDescent="0.3">
      <c r="A893" s="2" t="s">
        <v>5531</v>
      </c>
      <c r="B893" s="6">
        <v>44469</v>
      </c>
      <c r="C893" s="2" t="s">
        <v>5532</v>
      </c>
      <c r="D893" t="s">
        <v>6168</v>
      </c>
      <c r="E893" s="2">
        <v>5</v>
      </c>
      <c r="F893" s="2" t="str">
        <f>_xlfn.XLOOKUP(C893,customers!$A$1:$A$1001,customers!$B$1:$B$1001,,0,1)</f>
        <v>Celestia Dolohunty</v>
      </c>
      <c r="G893" s="2" t="str">
        <f>IF((_xlfn.XLOOKUP(C893,customers!$A$2:$A$1001,customers!$C$2:$C$1001,,,)=0),"",(_xlfn.XLOOKUP(C893,customers!$A$2:$A$1001,customers!$C$2:$C$1001,,0,)))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13"/>
        <v>114.42499999999998</v>
      </c>
      <c r="N893" t="str" cm="1">
        <f t="array" ref="N893">_xlfn.IFS(I893="rob","Robusta",I893="exc","Excesla",I893="ara","Arabica",I893="lib","Liberica")</f>
        <v>Arabica</v>
      </c>
      <c r="O893" t="str" cm="1">
        <f t="array" ref="O893">_xlfn.IFS(J893="m","Medium",J893="l","Light",J893="d","Dark")</f>
        <v>Dark</v>
      </c>
      <c r="P893" t="str">
        <f>_xlfn.XLOOKUP(orders[[#This Row],[Customer ID]],customers!$A$2:$A$1001,customers!$I$2:$I$1001,,0)</f>
        <v>Yes</v>
      </c>
    </row>
    <row r="894" spans="1:16" x14ac:dyDescent="0.3">
      <c r="A894" s="2" t="s">
        <v>5537</v>
      </c>
      <c r="B894" s="6">
        <v>43635</v>
      </c>
      <c r="C894" s="2" t="s">
        <v>5538</v>
      </c>
      <c r="D894" t="s">
        <v>6156</v>
      </c>
      <c r="E894" s="2">
        <v>5</v>
      </c>
      <c r="F894" s="2" t="str">
        <f>_xlfn.XLOOKUP(C894,customers!$A$1:$A$1001,customers!$B$1:$B$1001,,0,1)</f>
        <v>Patsy Vasilenko</v>
      </c>
      <c r="G894" s="2" t="str">
        <f>IF((_xlfn.XLOOKUP(C894,customers!$A$2:$A$1001,customers!$C$2:$C$1001,,,)=0),"",(_xlfn.XLOOKUP(C894,customers!$A$2:$A$1001,customers!$C$2:$C$1001,,0,)))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13"/>
        <v>20.625</v>
      </c>
      <c r="N894" t="str" cm="1">
        <f t="array" ref="N894">_xlfn.IFS(I894="rob","Robusta",I894="exc","Excesla",I894="ara","Arabica",I894="lib","Liberica")</f>
        <v>Excesla</v>
      </c>
      <c r="O894" t="str" cm="1">
        <f t="array" ref="O894">_xlfn.IFS(J894="m","Medium",J894="l","Light",J894="d","Dark")</f>
        <v>Medium</v>
      </c>
      <c r="P894" t="str">
        <f>_xlfn.XLOOKUP(orders[[#This Row],[Customer ID]],customers!$A$2:$A$1001,customers!$I$2:$I$1001,,0)</f>
        <v>No</v>
      </c>
    </row>
    <row r="895" spans="1:16" x14ac:dyDescent="0.3">
      <c r="A895" s="2" t="s">
        <v>5543</v>
      </c>
      <c r="B895" s="6">
        <v>44651</v>
      </c>
      <c r="C895" s="2" t="s">
        <v>5544</v>
      </c>
      <c r="D895" t="s">
        <v>6161</v>
      </c>
      <c r="E895" s="2">
        <v>6</v>
      </c>
      <c r="F895" s="2" t="str">
        <f>_xlfn.XLOOKUP(C895,customers!$A$1:$A$1001,customers!$B$1:$B$1001,,0,1)</f>
        <v>Raphaela Schankelborg</v>
      </c>
      <c r="G895" s="2" t="str">
        <f>IF((_xlfn.XLOOKUP(C895,customers!$A$2:$A$1001,customers!$C$2:$C$1001,,,)=0),"",(_xlfn.XLOOKUP(C895,customers!$A$2:$A$1001,customers!$C$2:$C$1001,,0,)))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13"/>
        <v>57.06</v>
      </c>
      <c r="N895" t="str" cm="1">
        <f t="array" ref="N895">_xlfn.IFS(I895="rob","Robusta",I895="exc","Excesla",I895="ara","Arabica",I895="lib","Liberica")</f>
        <v>Liberica</v>
      </c>
      <c r="O895" t="str" cm="1">
        <f t="array" ref="O895">_xlfn.IFS(J895="m","Medium",J895="l","Light",J895="d","Dark")</f>
        <v>Light</v>
      </c>
      <c r="P895" t="str">
        <f>_xlfn.XLOOKUP(orders[[#This Row],[Customer ID]],customers!$A$2:$A$1001,customers!$I$2:$I$1001,,0)</f>
        <v>Yes</v>
      </c>
    </row>
    <row r="896" spans="1:16" x14ac:dyDescent="0.3">
      <c r="A896" s="2" t="s">
        <v>5548</v>
      </c>
      <c r="B896" s="6">
        <v>44016</v>
      </c>
      <c r="C896" s="2" t="s">
        <v>5549</v>
      </c>
      <c r="D896" t="s">
        <v>6149</v>
      </c>
      <c r="E896" s="2">
        <v>4</v>
      </c>
      <c r="F896" s="2" t="str">
        <f>_xlfn.XLOOKUP(C896,customers!$A$1:$A$1001,customers!$B$1:$B$1001,,0,1)</f>
        <v>Sharity Wickens</v>
      </c>
      <c r="G896" s="2" t="str">
        <f>IF((_xlfn.XLOOKUP(C896,customers!$A$2:$A$1001,customers!$C$2:$C$1001,,,)=0),"",(_xlfn.XLOOKUP(C896,customers!$A$2:$A$1001,customers!$C$2:$C$1001,,0,)))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13"/>
        <v>82.339999999999989</v>
      </c>
      <c r="N896" t="str" cm="1">
        <f t="array" ref="N896">_xlfn.IFS(I896="rob","Robusta",I896="exc","Excesla",I896="ara","Arabica",I896="lib","Liberica")</f>
        <v>Robusta</v>
      </c>
      <c r="O896" t="str" cm="1">
        <f t="array" ref="O896">_xlfn.IFS(J896="m","Medium",J896="l","Light",J896="d","Dark")</f>
        <v>Dark</v>
      </c>
      <c r="P896" t="str">
        <f>_xlfn.XLOOKUP(orders[[#This Row],[Customer ID]],customers!$A$2:$A$1001,customers!$I$2:$I$1001,,0)</f>
        <v>Yes</v>
      </c>
    </row>
    <row r="897" spans="1:16" x14ac:dyDescent="0.3">
      <c r="A897" s="2" t="s">
        <v>5553</v>
      </c>
      <c r="B897" s="6">
        <v>44521</v>
      </c>
      <c r="C897" s="2" t="s">
        <v>5554</v>
      </c>
      <c r="D897" t="s">
        <v>6166</v>
      </c>
      <c r="E897" s="2">
        <v>5</v>
      </c>
      <c r="F897" s="2" t="str">
        <f>_xlfn.XLOOKUP(C897,customers!$A$1:$A$1001,customers!$B$1:$B$1001,,0,1)</f>
        <v>Derick Snow</v>
      </c>
      <c r="G897" s="2" t="str">
        <f>IF((_xlfn.XLOOKUP(C897,customers!$A$2:$A$1001,customers!$C$2:$C$1001,,,)=0),"",(_xlfn.XLOOKUP(C897,customers!$A$2:$A$1001,customers!$C$2:$C$1001,,0,)))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13"/>
        <v>158.12499999999997</v>
      </c>
      <c r="N897" t="str" cm="1">
        <f t="array" ref="N897">_xlfn.IFS(I897="rob","Robusta",I897="exc","Excesla",I897="ara","Arabica",I897="lib","Liberica")</f>
        <v>Excesla</v>
      </c>
      <c r="O897" t="str" cm="1">
        <f t="array" ref="O897">_xlfn.IFS(J897="m","Medium",J897="l","Light",J897="d","Dark")</f>
        <v>Medium</v>
      </c>
      <c r="P897" t="str">
        <f>_xlfn.XLOOKUP(orders[[#This Row],[Customer ID]],customers!$A$2:$A$1001,customers!$I$2:$I$1001,,0)</f>
        <v>No</v>
      </c>
    </row>
    <row r="898" spans="1:16" x14ac:dyDescent="0.3">
      <c r="A898" s="2" t="s">
        <v>5558</v>
      </c>
      <c r="B898" s="6">
        <v>44347</v>
      </c>
      <c r="C898" s="2" t="s">
        <v>5559</v>
      </c>
      <c r="D898" t="s">
        <v>6172</v>
      </c>
      <c r="E898" s="2">
        <v>6</v>
      </c>
      <c r="F898" s="2" t="str">
        <f>_xlfn.XLOOKUP(C898,customers!$A$1:$A$1001,customers!$B$1:$B$1001,,0,1)</f>
        <v>Baxy Cargen</v>
      </c>
      <c r="G898" s="2" t="str">
        <f>IF((_xlfn.XLOOKUP(C898,customers!$A$2:$A$1001,customers!$C$2:$C$1001,,,)=0),"",(_xlfn.XLOOKUP(C898,customers!$A$2:$A$1001,customers!$C$2:$C$1001,,0,)))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13"/>
        <v>32.22</v>
      </c>
      <c r="N898" t="str" cm="1">
        <f t="array" ref="N898">_xlfn.IFS(I898="rob","Robusta",I898="exc","Excesla",I898="ara","Arabica",I898="lib","Liberica")</f>
        <v>Robusta</v>
      </c>
      <c r="O898" t="str" cm="1">
        <f t="array" ref="O898">_xlfn.IFS(J898="m","Medium",J898="l","Light",J898="d","Dark")</f>
        <v>Dark</v>
      </c>
      <c r="P898" t="str">
        <f>_xlfn.XLOOKUP(orders[[#This Row],[Customer ID]],customers!$A$2:$A$1001,customers!$I$2:$I$1001,,0)</f>
        <v>Yes</v>
      </c>
    </row>
    <row r="899" spans="1:16" x14ac:dyDescent="0.3">
      <c r="A899" s="2" t="s">
        <v>5564</v>
      </c>
      <c r="B899" s="6">
        <v>43932</v>
      </c>
      <c r="C899" s="2" t="s">
        <v>5565</v>
      </c>
      <c r="D899" t="s">
        <v>6183</v>
      </c>
      <c r="E899" s="2">
        <v>2</v>
      </c>
      <c r="F899" s="2" t="str">
        <f>_xlfn.XLOOKUP(C899,customers!$A$1:$A$1001,customers!$B$1:$B$1001,,0,1)</f>
        <v>Ryann Stickler</v>
      </c>
      <c r="G899" s="2" t="str">
        <f>IF((_xlfn.XLOOKUP(C899,customers!$A$2:$A$1001,customers!$C$2:$C$1001,,,)=0),"",(_xlfn.XLOOKUP(C899,customers!$A$2:$A$1001,customers!$C$2:$C$1001,,0,)))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14">L899*E899</f>
        <v>24.3</v>
      </c>
      <c r="N899" t="str" cm="1">
        <f t="array" ref="N899">_xlfn.IFS(I899="rob","Robusta",I899="exc","Excesla",I899="ara","Arabica",I899="lib","Liberica")</f>
        <v>Excesla</v>
      </c>
      <c r="O899" t="str" cm="1">
        <f t="array" ref="O899">_xlfn.IFS(J899="m","Medium",J899="l","Light",J899="d","Dark")</f>
        <v>Dark</v>
      </c>
      <c r="P899" t="str">
        <f>_xlfn.XLOOKUP(orders[[#This Row],[Customer ID]],customers!$A$2:$A$1001,customers!$I$2:$I$1001,,0)</f>
        <v>No</v>
      </c>
    </row>
    <row r="900" spans="1:16" x14ac:dyDescent="0.3">
      <c r="A900" s="2" t="s">
        <v>5570</v>
      </c>
      <c r="B900" s="6">
        <v>44089</v>
      </c>
      <c r="C900" s="2" t="s">
        <v>5571</v>
      </c>
      <c r="D900" t="s">
        <v>6173</v>
      </c>
      <c r="E900" s="2">
        <v>5</v>
      </c>
      <c r="F900" s="2" t="str">
        <f>_xlfn.XLOOKUP(C900,customers!$A$1:$A$1001,customers!$B$1:$B$1001,,0,1)</f>
        <v>Daryn Cassius</v>
      </c>
      <c r="G900" s="2" t="str">
        <f>IF((_xlfn.XLOOKUP(C900,customers!$A$2:$A$1001,customers!$C$2:$C$1001,,,)=0),"",(_xlfn.XLOOKUP(C900,customers!$A$2:$A$1001,customers!$C$2:$C$1001,,0,)))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14"/>
        <v>35.849999999999994</v>
      </c>
      <c r="N900" t="str" cm="1">
        <f t="array" ref="N900">_xlfn.IFS(I900="rob","Robusta",I900="exc","Excesla",I900="ara","Arabica",I900="lib","Liberica")</f>
        <v>Robusta</v>
      </c>
      <c r="O900" t="str" cm="1">
        <f t="array" ref="O900">_xlfn.IFS(J900="m","Medium",J900="l","Light",J900="d","Dark")</f>
        <v>Light</v>
      </c>
      <c r="P900" t="str">
        <f>_xlfn.XLOOKUP(orders[[#This Row],[Customer ID]],customers!$A$2:$A$1001,customers!$I$2:$I$1001,,0)</f>
        <v>No</v>
      </c>
    </row>
    <row r="901" spans="1:16" x14ac:dyDescent="0.3">
      <c r="A901" s="2" t="s">
        <v>5575</v>
      </c>
      <c r="B901" s="6">
        <v>44523</v>
      </c>
      <c r="C901" s="2" t="s">
        <v>5554</v>
      </c>
      <c r="D901" t="s">
        <v>6162</v>
      </c>
      <c r="E901" s="2">
        <v>5</v>
      </c>
      <c r="F901" s="2" t="str">
        <f>_xlfn.XLOOKUP(C901,customers!$A$1:$A$1001,customers!$B$1:$B$1001,,0,1)</f>
        <v>Derick Snow</v>
      </c>
      <c r="G901" s="2" t="str">
        <f>IF((_xlfn.XLOOKUP(C901,customers!$A$2:$A$1001,customers!$C$2:$C$1001,,,)=0),"",(_xlfn.XLOOKUP(C901,customers!$A$2:$A$1001,customers!$C$2:$C$1001,,0,)))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14"/>
        <v>72.75</v>
      </c>
      <c r="N901" t="str" cm="1">
        <f t="array" ref="N901">_xlfn.IFS(I901="rob","Robusta",I901="exc","Excesla",I901="ara","Arabica",I901="lib","Liberica")</f>
        <v>Liberica</v>
      </c>
      <c r="O901" t="str" cm="1">
        <f t="array" ref="O901">_xlfn.IFS(J901="m","Medium",J901="l","Light",J901="d","Dark")</f>
        <v>Medium</v>
      </c>
      <c r="P901" t="str">
        <f>_xlfn.XLOOKUP(orders[[#This Row],[Customer ID]],customers!$A$2:$A$1001,customers!$I$2:$I$1001,,0)</f>
        <v>No</v>
      </c>
    </row>
    <row r="902" spans="1:16" x14ac:dyDescent="0.3">
      <c r="A902" s="2" t="s">
        <v>5580</v>
      </c>
      <c r="B902" s="6">
        <v>44584</v>
      </c>
      <c r="C902" s="2" t="s">
        <v>5581</v>
      </c>
      <c r="D902" t="s">
        <v>6170</v>
      </c>
      <c r="E902" s="2">
        <v>3</v>
      </c>
      <c r="F902" s="2" t="str">
        <f>_xlfn.XLOOKUP(C902,customers!$A$1:$A$1001,customers!$B$1:$B$1001,,0,1)</f>
        <v>Skelly Dolohunty</v>
      </c>
      <c r="G902" s="2" t="str">
        <f>IF((_xlfn.XLOOKUP(C902,customers!$A$2:$A$1001,customers!$C$2:$C$1001,,,)=0),"",(_xlfn.XLOOKUP(C902,customers!$A$2:$A$1001,customers!$C$2:$C$1001,,0,)))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14"/>
        <v>47.55</v>
      </c>
      <c r="N902" t="str" cm="1">
        <f t="array" ref="N902">_xlfn.IFS(I902="rob","Robusta",I902="exc","Excesla",I902="ara","Arabica",I902="lib","Liberica")</f>
        <v>Liberica</v>
      </c>
      <c r="O902" t="str" cm="1">
        <f t="array" ref="O902">_xlfn.IFS(J902="m","Medium",J902="l","Light",J902="d","Dark")</f>
        <v>Light</v>
      </c>
      <c r="P902" t="str">
        <f>_xlfn.XLOOKUP(orders[[#This Row],[Customer ID]],customers!$A$2:$A$1001,customers!$I$2:$I$1001,,0)</f>
        <v>No</v>
      </c>
    </row>
    <row r="903" spans="1:16" x14ac:dyDescent="0.3">
      <c r="A903" s="2" t="s">
        <v>5585</v>
      </c>
      <c r="B903" s="6">
        <v>44223</v>
      </c>
      <c r="C903" s="2" t="s">
        <v>5586</v>
      </c>
      <c r="D903" t="s">
        <v>6178</v>
      </c>
      <c r="E903" s="2">
        <v>1</v>
      </c>
      <c r="F903" s="2" t="str">
        <f>_xlfn.XLOOKUP(C903,customers!$A$1:$A$1001,customers!$B$1:$B$1001,,0,1)</f>
        <v>Drake Jevon</v>
      </c>
      <c r="G903" s="2" t="str">
        <f>IF((_xlfn.XLOOKUP(C903,customers!$A$2:$A$1001,customers!$C$2:$C$1001,,,)=0),"",(_xlfn.XLOOKUP(C903,customers!$A$2:$A$1001,customers!$C$2:$C$1001,,0,)))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14"/>
        <v>3.5849999999999995</v>
      </c>
      <c r="N903" t="str" cm="1">
        <f t="array" ref="N903">_xlfn.IFS(I903="rob","Robusta",I903="exc","Excesla",I903="ara","Arabica",I903="lib","Liberica")</f>
        <v>Robusta</v>
      </c>
      <c r="O903" t="str" cm="1">
        <f t="array" ref="O903">_xlfn.IFS(J903="m","Medium",J903="l","Light",J903="d","Dark")</f>
        <v>Light</v>
      </c>
      <c r="P903" t="str">
        <f>_xlfn.XLOOKUP(orders[[#This Row],[Customer ID]],customers!$A$2:$A$1001,customers!$I$2:$I$1001,,0)</f>
        <v>Yes</v>
      </c>
    </row>
    <row r="904" spans="1:16" x14ac:dyDescent="0.3">
      <c r="A904" s="2" t="s">
        <v>5591</v>
      </c>
      <c r="B904" s="6">
        <v>43640</v>
      </c>
      <c r="C904" s="2" t="s">
        <v>5592</v>
      </c>
      <c r="D904" t="s">
        <v>6166</v>
      </c>
      <c r="E904" s="2">
        <v>5</v>
      </c>
      <c r="F904" s="2" t="str">
        <f>_xlfn.XLOOKUP(C904,customers!$A$1:$A$1001,customers!$B$1:$B$1001,,0,1)</f>
        <v>Hall Ranner</v>
      </c>
      <c r="G904" s="2" t="str">
        <f>IF((_xlfn.XLOOKUP(C904,customers!$A$2:$A$1001,customers!$C$2:$C$1001,,,)=0),"",(_xlfn.XLOOKUP(C904,customers!$A$2:$A$1001,customers!$C$2:$C$1001,,0,)))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14"/>
        <v>158.12499999999997</v>
      </c>
      <c r="N904" t="str" cm="1">
        <f t="array" ref="N904">_xlfn.IFS(I904="rob","Robusta",I904="exc","Excesla",I904="ara","Arabica",I904="lib","Liberica")</f>
        <v>Excesla</v>
      </c>
      <c r="O904" t="str" cm="1">
        <f t="array" ref="O904">_xlfn.IFS(J904="m","Medium",J904="l","Light",J904="d","Dark")</f>
        <v>Medium</v>
      </c>
      <c r="P904" t="str">
        <f>_xlfn.XLOOKUP(orders[[#This Row],[Customer ID]],customers!$A$2:$A$1001,customers!$I$2:$I$1001,,0)</f>
        <v>No</v>
      </c>
    </row>
    <row r="905" spans="1:16" x14ac:dyDescent="0.3">
      <c r="A905" s="2" t="s">
        <v>5597</v>
      </c>
      <c r="B905" s="6">
        <v>43905</v>
      </c>
      <c r="C905" s="2" t="s">
        <v>5598</v>
      </c>
      <c r="D905" t="s">
        <v>6160</v>
      </c>
      <c r="E905" s="2">
        <v>2</v>
      </c>
      <c r="F905" s="2" t="str">
        <f>_xlfn.XLOOKUP(C905,customers!$A$1:$A$1001,customers!$B$1:$B$1001,,0,1)</f>
        <v>Berkly Imrie</v>
      </c>
      <c r="G905" s="2" t="str">
        <f>IF((_xlfn.XLOOKUP(C905,customers!$A$2:$A$1001,customers!$C$2:$C$1001,,,)=0),"",(_xlfn.XLOOKUP(C905,customers!$A$2:$A$1001,customers!$C$2:$C$1001,,0,)))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14"/>
        <v>17.46</v>
      </c>
      <c r="N905" t="str" cm="1">
        <f t="array" ref="N905">_xlfn.IFS(I905="rob","Robusta",I905="exc","Excesla",I905="ara","Arabica",I905="lib","Liberica")</f>
        <v>Liberica</v>
      </c>
      <c r="O905" t="str" cm="1">
        <f t="array" ref="O905">_xlfn.IFS(J905="m","Medium",J905="l","Light",J905="d","Dark")</f>
        <v>Medium</v>
      </c>
      <c r="P905" t="str">
        <f>_xlfn.XLOOKUP(orders[[#This Row],[Customer ID]],customers!$A$2:$A$1001,customers!$I$2:$I$1001,,0)</f>
        <v>No</v>
      </c>
    </row>
    <row r="906" spans="1:16" x14ac:dyDescent="0.3">
      <c r="A906" s="2" t="s">
        <v>5603</v>
      </c>
      <c r="B906" s="6">
        <v>44463</v>
      </c>
      <c r="C906" s="2" t="s">
        <v>5604</v>
      </c>
      <c r="D906" t="s">
        <v>6182</v>
      </c>
      <c r="E906" s="2">
        <v>5</v>
      </c>
      <c r="F906" s="2" t="str">
        <f>_xlfn.XLOOKUP(C906,customers!$A$1:$A$1001,customers!$B$1:$B$1001,,0,1)</f>
        <v>Dorey Sopper</v>
      </c>
      <c r="G906" s="2" t="str">
        <f>IF((_xlfn.XLOOKUP(C906,customers!$A$2:$A$1001,customers!$C$2:$C$1001,,,)=0),"",(_xlfn.XLOOKUP(C906,customers!$A$2:$A$1001,customers!$C$2:$C$1001,,0,)))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14"/>
        <v>148.92499999999998</v>
      </c>
      <c r="N906" t="str" cm="1">
        <f t="array" ref="N906">_xlfn.IFS(I906="rob","Robusta",I906="exc","Excesla",I906="ara","Arabica",I906="lib","Liberica")</f>
        <v>Arabica</v>
      </c>
      <c r="O906" t="str" cm="1">
        <f t="array" ref="O906">_xlfn.IFS(J906="m","Medium",J906="l","Light",J906="d","Dark")</f>
        <v>Light</v>
      </c>
      <c r="P906" t="str">
        <f>_xlfn.XLOOKUP(orders[[#This Row],[Customer ID]],customers!$A$2:$A$1001,customers!$I$2:$I$1001,,0)</f>
        <v>No</v>
      </c>
    </row>
    <row r="907" spans="1:16" x14ac:dyDescent="0.3">
      <c r="A907" s="2" t="s">
        <v>5609</v>
      </c>
      <c r="B907" s="6">
        <v>43560</v>
      </c>
      <c r="C907" s="2" t="s">
        <v>5610</v>
      </c>
      <c r="D907" t="s">
        <v>6157</v>
      </c>
      <c r="E907" s="2">
        <v>6</v>
      </c>
      <c r="F907" s="2" t="str">
        <f>_xlfn.XLOOKUP(C907,customers!$A$1:$A$1001,customers!$B$1:$B$1001,,0,1)</f>
        <v>Darcy Lochran</v>
      </c>
      <c r="G907" s="2" t="str">
        <f>IF((_xlfn.XLOOKUP(C907,customers!$A$2:$A$1001,customers!$C$2:$C$1001,,,)=0),"",(_xlfn.XLOOKUP(C907,customers!$A$2:$A$1001,customers!$C$2:$C$1001,,0,)))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14"/>
        <v>40.5</v>
      </c>
      <c r="N907" t="str" cm="1">
        <f t="array" ref="N907">_xlfn.IFS(I907="rob","Robusta",I907="exc","Excesla",I907="ara","Arabica",I907="lib","Liberica")</f>
        <v>Arabica</v>
      </c>
      <c r="O907" t="str" cm="1">
        <f t="array" ref="O907">_xlfn.IFS(J907="m","Medium",J907="l","Light",J907="d","Dark")</f>
        <v>Medium</v>
      </c>
      <c r="P907" t="str">
        <f>_xlfn.XLOOKUP(orders[[#This Row],[Customer ID]],customers!$A$2:$A$1001,customers!$I$2:$I$1001,,0)</f>
        <v>Yes</v>
      </c>
    </row>
    <row r="908" spans="1:16" x14ac:dyDescent="0.3">
      <c r="A908" s="2" t="s">
        <v>5614</v>
      </c>
      <c r="B908" s="6">
        <v>44588</v>
      </c>
      <c r="C908" s="2" t="s">
        <v>5615</v>
      </c>
      <c r="D908" t="s">
        <v>6157</v>
      </c>
      <c r="E908" s="2">
        <v>4</v>
      </c>
      <c r="F908" s="2" t="str">
        <f>_xlfn.XLOOKUP(C908,customers!$A$1:$A$1001,customers!$B$1:$B$1001,,0,1)</f>
        <v>Lauritz Ledgley</v>
      </c>
      <c r="G908" s="2" t="str">
        <f>IF((_xlfn.XLOOKUP(C908,customers!$A$2:$A$1001,customers!$C$2:$C$1001,,,)=0),"",(_xlfn.XLOOKUP(C908,customers!$A$2:$A$1001,customers!$C$2:$C$1001,,0,)))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14"/>
        <v>27</v>
      </c>
      <c r="N908" t="str" cm="1">
        <f t="array" ref="N908">_xlfn.IFS(I908="rob","Robusta",I908="exc","Excesla",I908="ara","Arabica",I908="lib","Liberica")</f>
        <v>Arabica</v>
      </c>
      <c r="O908" t="str" cm="1">
        <f t="array" ref="O908">_xlfn.IFS(J908="m","Medium",J908="l","Light",J908="d","Dark")</f>
        <v>Medium</v>
      </c>
      <c r="P908" t="str">
        <f>_xlfn.XLOOKUP(orders[[#This Row],[Customer ID]],customers!$A$2:$A$1001,customers!$I$2:$I$1001,,0)</f>
        <v>Yes</v>
      </c>
    </row>
    <row r="909" spans="1:16" x14ac:dyDescent="0.3">
      <c r="A909" s="2" t="s">
        <v>5620</v>
      </c>
      <c r="B909" s="6">
        <v>44449</v>
      </c>
      <c r="C909" s="2" t="s">
        <v>5621</v>
      </c>
      <c r="D909" t="s">
        <v>6143</v>
      </c>
      <c r="E909" s="2">
        <v>3</v>
      </c>
      <c r="F909" s="2" t="str">
        <f>_xlfn.XLOOKUP(C909,customers!$A$1:$A$1001,customers!$B$1:$B$1001,,0,1)</f>
        <v>Tawnya Menary</v>
      </c>
      <c r="G909" s="2" t="str">
        <f>IF((_xlfn.XLOOKUP(C909,customers!$A$2:$A$1001,customers!$C$2:$C$1001,,,)=0),"",(_xlfn.XLOOKUP(C909,customers!$A$2:$A$1001,customers!$C$2:$C$1001,,0,)))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14"/>
        <v>38.849999999999994</v>
      </c>
      <c r="N909" t="str" cm="1">
        <f t="array" ref="N909">_xlfn.IFS(I909="rob","Robusta",I909="exc","Excesla",I909="ara","Arabica",I909="lib","Liberica")</f>
        <v>Liberica</v>
      </c>
      <c r="O909" t="str" cm="1">
        <f t="array" ref="O909">_xlfn.IFS(J909="m","Medium",J909="l","Light",J909="d","Dark")</f>
        <v>Dark</v>
      </c>
      <c r="P909" t="str">
        <f>_xlfn.XLOOKUP(orders[[#This Row],[Customer ID]],customers!$A$2:$A$1001,customers!$I$2:$I$1001,,0)</f>
        <v>No</v>
      </c>
    </row>
    <row r="910" spans="1:16" x14ac:dyDescent="0.3">
      <c r="A910" s="2" t="s">
        <v>5626</v>
      </c>
      <c r="B910" s="6">
        <v>43836</v>
      </c>
      <c r="C910" s="2" t="s">
        <v>5627</v>
      </c>
      <c r="D910" t="s">
        <v>6179</v>
      </c>
      <c r="E910" s="2">
        <v>5</v>
      </c>
      <c r="F910" s="2" t="str">
        <f>_xlfn.XLOOKUP(C910,customers!$A$1:$A$1001,customers!$B$1:$B$1001,,0,1)</f>
        <v>Gustaf Ciccotti</v>
      </c>
      <c r="G910" s="2" t="str">
        <f>IF((_xlfn.XLOOKUP(C910,customers!$A$2:$A$1001,customers!$C$2:$C$1001,,,)=0),"",(_xlfn.XLOOKUP(C910,customers!$A$2:$A$1001,customers!$C$2:$C$1001,,0,)))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14"/>
        <v>59.75</v>
      </c>
      <c r="N910" t="str" cm="1">
        <f t="array" ref="N910">_xlfn.IFS(I910="rob","Robusta",I910="exc","Excesla",I910="ara","Arabica",I910="lib","Liberica")</f>
        <v>Robusta</v>
      </c>
      <c r="O910" t="str" cm="1">
        <f t="array" ref="O910">_xlfn.IFS(J910="m","Medium",J910="l","Light",J910="d","Dark")</f>
        <v>Light</v>
      </c>
      <c r="P910" t="str">
        <f>_xlfn.XLOOKUP(orders[[#This Row],[Customer ID]],customers!$A$2:$A$1001,customers!$I$2:$I$1001,,0)</f>
        <v>No</v>
      </c>
    </row>
    <row r="911" spans="1:16" x14ac:dyDescent="0.3">
      <c r="A911" s="2" t="s">
        <v>5632</v>
      </c>
      <c r="B911" s="6">
        <v>44635</v>
      </c>
      <c r="C911" s="2" t="s">
        <v>5633</v>
      </c>
      <c r="D911" t="s">
        <v>6178</v>
      </c>
      <c r="E911" s="2">
        <v>3</v>
      </c>
      <c r="F911" s="2" t="str">
        <f>_xlfn.XLOOKUP(C911,customers!$A$1:$A$1001,customers!$B$1:$B$1001,,0,1)</f>
        <v>Bobbe Renner</v>
      </c>
      <c r="G911" s="2" t="str">
        <f>IF((_xlfn.XLOOKUP(C911,customers!$A$2:$A$1001,customers!$C$2:$C$1001,,,)=0),"",(_xlfn.XLOOKUP(C911,customers!$A$2:$A$1001,customers!$C$2:$C$1001,,0,)))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14"/>
        <v>10.754999999999999</v>
      </c>
      <c r="N911" t="str" cm="1">
        <f t="array" ref="N911">_xlfn.IFS(I911="rob","Robusta",I911="exc","Excesla",I911="ara","Arabica",I911="lib","Liberica")</f>
        <v>Robusta</v>
      </c>
      <c r="O911" t="str" cm="1">
        <f t="array" ref="O911">_xlfn.IFS(J911="m","Medium",J911="l","Light",J911="d","Dark")</f>
        <v>Light</v>
      </c>
      <c r="P911" t="str">
        <f>_xlfn.XLOOKUP(orders[[#This Row],[Customer ID]],customers!$A$2:$A$1001,customers!$I$2:$I$1001,,0)</f>
        <v>No</v>
      </c>
    </row>
    <row r="912" spans="1:16" x14ac:dyDescent="0.3">
      <c r="A912" s="2" t="s">
        <v>5637</v>
      </c>
      <c r="B912" s="6">
        <v>44447</v>
      </c>
      <c r="C912" s="2" t="s">
        <v>5638</v>
      </c>
      <c r="D912" t="s">
        <v>6168</v>
      </c>
      <c r="E912" s="2">
        <v>4</v>
      </c>
      <c r="F912" s="2" t="str">
        <f>_xlfn.XLOOKUP(C912,customers!$A$1:$A$1001,customers!$B$1:$B$1001,,0,1)</f>
        <v>Wilton Jallin</v>
      </c>
      <c r="G912" s="2" t="str">
        <f>IF((_xlfn.XLOOKUP(C912,customers!$A$2:$A$1001,customers!$C$2:$C$1001,,,)=0),"",(_xlfn.XLOOKUP(C912,customers!$A$2:$A$1001,customers!$C$2:$C$1001,,0,)))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14"/>
        <v>91.539999999999992</v>
      </c>
      <c r="N912" t="str" cm="1">
        <f t="array" ref="N912">_xlfn.IFS(I912="rob","Robusta",I912="exc","Excesla",I912="ara","Arabica",I912="lib","Liberica")</f>
        <v>Arabica</v>
      </c>
      <c r="O912" t="str" cm="1">
        <f t="array" ref="O912">_xlfn.IFS(J912="m","Medium",J912="l","Light",J912="d","Dark")</f>
        <v>Dark</v>
      </c>
      <c r="P912" t="str">
        <f>_xlfn.XLOOKUP(orders[[#This Row],[Customer ID]],customers!$A$2:$A$1001,customers!$I$2:$I$1001,,0)</f>
        <v>No</v>
      </c>
    </row>
    <row r="913" spans="1:16" x14ac:dyDescent="0.3">
      <c r="A913" s="2" t="s">
        <v>5643</v>
      </c>
      <c r="B913" s="6">
        <v>44511</v>
      </c>
      <c r="C913" s="2" t="s">
        <v>5644</v>
      </c>
      <c r="D913" t="s">
        <v>6155</v>
      </c>
      <c r="E913" s="2">
        <v>4</v>
      </c>
      <c r="F913" s="2" t="str">
        <f>_xlfn.XLOOKUP(C913,customers!$A$1:$A$1001,customers!$B$1:$B$1001,,0,1)</f>
        <v>Mindy Bogey</v>
      </c>
      <c r="G913" s="2" t="str">
        <f>IF((_xlfn.XLOOKUP(C913,customers!$A$2:$A$1001,customers!$C$2:$C$1001,,,)=0),"",(_xlfn.XLOOKUP(C913,customers!$A$2:$A$1001,customers!$C$2:$C$1001,,0,)))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14"/>
        <v>45</v>
      </c>
      <c r="N913" t="str" cm="1">
        <f t="array" ref="N913">_xlfn.IFS(I913="rob","Robusta",I913="exc","Excesla",I913="ara","Arabica",I913="lib","Liberica")</f>
        <v>Arabica</v>
      </c>
      <c r="O913" t="str" cm="1">
        <f t="array" ref="O913">_xlfn.IFS(J913="m","Medium",J913="l","Light",J913="d","Dark")</f>
        <v>Medium</v>
      </c>
      <c r="P913" t="str">
        <f>_xlfn.XLOOKUP(orders[[#This Row],[Customer ID]],customers!$A$2:$A$1001,customers!$I$2:$I$1001,,0)</f>
        <v>Yes</v>
      </c>
    </row>
    <row r="914" spans="1:16" x14ac:dyDescent="0.3">
      <c r="A914" s="2" t="s">
        <v>5649</v>
      </c>
      <c r="B914" s="6">
        <v>43726</v>
      </c>
      <c r="C914" s="2" t="s">
        <v>5650</v>
      </c>
      <c r="D914" t="s">
        <v>6151</v>
      </c>
      <c r="E914" s="2">
        <v>6</v>
      </c>
      <c r="F914" s="2" t="str">
        <f>_xlfn.XLOOKUP(C914,customers!$A$1:$A$1001,customers!$B$1:$B$1001,,0,1)</f>
        <v>Paulie Fonzone</v>
      </c>
      <c r="G914" s="2" t="str">
        <f>IF((_xlfn.XLOOKUP(C914,customers!$A$2:$A$1001,customers!$C$2:$C$1001,,,)=0),"",(_xlfn.XLOOKUP(C914,customers!$A$2:$A$1001,customers!$C$2:$C$1001,,0,)))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14"/>
        <v>137.31</v>
      </c>
      <c r="N914" t="str" cm="1">
        <f t="array" ref="N914">_xlfn.IFS(I914="rob","Robusta",I914="exc","Excesla",I914="ara","Arabica",I914="lib","Liberica")</f>
        <v>Robusta</v>
      </c>
      <c r="O914" t="str" cm="1">
        <f t="array" ref="O914">_xlfn.IFS(J914="m","Medium",J914="l","Light",J914="d","Dark")</f>
        <v>Medium</v>
      </c>
      <c r="P914" t="str">
        <f>_xlfn.XLOOKUP(orders[[#This Row],[Customer ID]],customers!$A$2:$A$1001,customers!$I$2:$I$1001,,0)</f>
        <v>Yes</v>
      </c>
    </row>
    <row r="915" spans="1:16" x14ac:dyDescent="0.3">
      <c r="A915" s="2" t="s">
        <v>5654</v>
      </c>
      <c r="B915" s="6">
        <v>44406</v>
      </c>
      <c r="C915" s="2" t="s">
        <v>5655</v>
      </c>
      <c r="D915" t="s">
        <v>6157</v>
      </c>
      <c r="E915" s="2">
        <v>1</v>
      </c>
      <c r="F915" s="2" t="str">
        <f>_xlfn.XLOOKUP(C915,customers!$A$1:$A$1001,customers!$B$1:$B$1001,,0,1)</f>
        <v>Merrile Cobbledick</v>
      </c>
      <c r="G915" s="2" t="str">
        <f>IF((_xlfn.XLOOKUP(C915,customers!$A$2:$A$1001,customers!$C$2:$C$1001,,,)=0),"",(_xlfn.XLOOKUP(C915,customers!$A$2:$A$1001,customers!$C$2:$C$1001,,0,)))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14"/>
        <v>6.75</v>
      </c>
      <c r="N915" t="str" cm="1">
        <f t="array" ref="N915">_xlfn.IFS(I915="rob","Robusta",I915="exc","Excesla",I915="ara","Arabica",I915="lib","Liberica")</f>
        <v>Arabica</v>
      </c>
      <c r="O915" t="str" cm="1">
        <f t="array" ref="O915">_xlfn.IFS(J915="m","Medium",J915="l","Light",J915="d","Dark")</f>
        <v>Medium</v>
      </c>
      <c r="P915" t="str">
        <f>_xlfn.XLOOKUP(orders[[#This Row],[Customer ID]],customers!$A$2:$A$1001,customers!$I$2:$I$1001,,0)</f>
        <v>No</v>
      </c>
    </row>
    <row r="916" spans="1:16" x14ac:dyDescent="0.3">
      <c r="A916" s="2" t="s">
        <v>5660</v>
      </c>
      <c r="B916" s="6">
        <v>44640</v>
      </c>
      <c r="C916" s="2" t="s">
        <v>5661</v>
      </c>
      <c r="D916" t="s">
        <v>6155</v>
      </c>
      <c r="E916" s="2">
        <v>4</v>
      </c>
      <c r="F916" s="2" t="str">
        <f>_xlfn.XLOOKUP(C916,customers!$A$1:$A$1001,customers!$B$1:$B$1001,,0,1)</f>
        <v>Antonius Lewry</v>
      </c>
      <c r="G916" s="2" t="str">
        <f>IF((_xlfn.XLOOKUP(C916,customers!$A$2:$A$1001,customers!$C$2:$C$1001,,,)=0),"",(_xlfn.XLOOKUP(C916,customers!$A$2:$A$1001,customers!$C$2:$C$1001,,0,)))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14"/>
        <v>45</v>
      </c>
      <c r="N916" t="str" cm="1">
        <f t="array" ref="N916">_xlfn.IFS(I916="rob","Robusta",I916="exc","Excesla",I916="ara","Arabica",I916="lib","Liberica")</f>
        <v>Arabica</v>
      </c>
      <c r="O916" t="str" cm="1">
        <f t="array" ref="O916">_xlfn.IFS(J916="m","Medium",J916="l","Light",J916="d","Dark")</f>
        <v>Medium</v>
      </c>
      <c r="P916" t="str">
        <f>_xlfn.XLOOKUP(orders[[#This Row],[Customer ID]],customers!$A$2:$A$1001,customers!$I$2:$I$1001,,0)</f>
        <v>No</v>
      </c>
    </row>
    <row r="917" spans="1:16" x14ac:dyDescent="0.3">
      <c r="A917" s="2" t="s">
        <v>5666</v>
      </c>
      <c r="B917" s="6">
        <v>43955</v>
      </c>
      <c r="C917" s="2" t="s">
        <v>5667</v>
      </c>
      <c r="D917" t="s">
        <v>6185</v>
      </c>
      <c r="E917" s="2">
        <v>3</v>
      </c>
      <c r="F917" s="2" t="str">
        <f>_xlfn.XLOOKUP(C917,customers!$A$1:$A$1001,customers!$B$1:$B$1001,,0,1)</f>
        <v>Isis Hessel</v>
      </c>
      <c r="G917" s="2" t="str">
        <f>IF((_xlfn.XLOOKUP(C917,customers!$A$2:$A$1001,customers!$C$2:$C$1001,,,)=0),"",(_xlfn.XLOOKUP(C917,customers!$A$2:$A$1001,customers!$C$2:$C$1001,,0,)))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14"/>
        <v>83.835000000000008</v>
      </c>
      <c r="N917" t="str" cm="1">
        <f t="array" ref="N917">_xlfn.IFS(I917="rob","Robusta",I917="exc","Excesla",I917="ara","Arabica",I917="lib","Liberica")</f>
        <v>Excesla</v>
      </c>
      <c r="O917" t="str" cm="1">
        <f t="array" ref="O917">_xlfn.IFS(J917="m","Medium",J917="l","Light",J917="d","Dark")</f>
        <v>Dark</v>
      </c>
      <c r="P917" t="str">
        <f>_xlfn.XLOOKUP(orders[[#This Row],[Customer ID]],customers!$A$2:$A$1001,customers!$I$2:$I$1001,,0)</f>
        <v>Yes</v>
      </c>
    </row>
    <row r="918" spans="1:16" x14ac:dyDescent="0.3">
      <c r="A918" s="2" t="s">
        <v>5672</v>
      </c>
      <c r="B918" s="6">
        <v>44291</v>
      </c>
      <c r="C918" s="2" t="s">
        <v>5673</v>
      </c>
      <c r="D918" t="s">
        <v>6153</v>
      </c>
      <c r="E918" s="2">
        <v>1</v>
      </c>
      <c r="F918" s="2" t="str">
        <f>_xlfn.XLOOKUP(C918,customers!$A$1:$A$1001,customers!$B$1:$B$1001,,0,1)</f>
        <v>Harland Trematick</v>
      </c>
      <c r="G918" s="2" t="str">
        <f>IF((_xlfn.XLOOKUP(C918,customers!$A$2:$A$1001,customers!$C$2:$C$1001,,,)=0),"",(_xlfn.XLOOKUP(C918,customers!$A$2:$A$1001,customers!$C$2:$C$1001,,0,)))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14"/>
        <v>3.645</v>
      </c>
      <c r="N918" t="str" cm="1">
        <f t="array" ref="N918">_xlfn.IFS(I918="rob","Robusta",I918="exc","Excesla",I918="ara","Arabica",I918="lib","Liberica")</f>
        <v>Excesla</v>
      </c>
      <c r="O918" t="str" cm="1">
        <f t="array" ref="O918">_xlfn.IFS(J918="m","Medium",J918="l","Light",J918="d","Dark")</f>
        <v>Dark</v>
      </c>
      <c r="P918" t="str">
        <f>_xlfn.XLOOKUP(orders[[#This Row],[Customer ID]],customers!$A$2:$A$1001,customers!$I$2:$I$1001,,0)</f>
        <v>Yes</v>
      </c>
    </row>
    <row r="919" spans="1:16" x14ac:dyDescent="0.3">
      <c r="A919" s="2" t="s">
        <v>5676</v>
      </c>
      <c r="B919" s="6">
        <v>44573</v>
      </c>
      <c r="C919" s="2" t="s">
        <v>5677</v>
      </c>
      <c r="D919" t="s">
        <v>6157</v>
      </c>
      <c r="E919" s="2">
        <v>1</v>
      </c>
      <c r="F919" s="2" t="str">
        <f>_xlfn.XLOOKUP(C919,customers!$A$1:$A$1001,customers!$B$1:$B$1001,,0,1)</f>
        <v>Chloris Sorrell</v>
      </c>
      <c r="G919" s="2" t="str">
        <f>IF((_xlfn.XLOOKUP(C919,customers!$A$2:$A$1001,customers!$C$2:$C$1001,,,)=0),"",(_xlfn.XLOOKUP(C919,customers!$A$2:$A$1001,customers!$C$2:$C$1001,,0,)))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14"/>
        <v>6.75</v>
      </c>
      <c r="N919" t="str" cm="1">
        <f t="array" ref="N919">_xlfn.IFS(I919="rob","Robusta",I919="exc","Excesla",I919="ara","Arabica",I919="lib","Liberica")</f>
        <v>Arabica</v>
      </c>
      <c r="O919" t="str" cm="1">
        <f t="array" ref="O919">_xlfn.IFS(J919="m","Medium",J919="l","Light",J919="d","Dark")</f>
        <v>Medium</v>
      </c>
      <c r="P919" t="str">
        <f>_xlfn.XLOOKUP(orders[[#This Row],[Customer ID]],customers!$A$2:$A$1001,customers!$I$2:$I$1001,,0)</f>
        <v>No</v>
      </c>
    </row>
    <row r="920" spans="1:16" x14ac:dyDescent="0.3">
      <c r="A920" s="2" t="s">
        <v>5676</v>
      </c>
      <c r="B920" s="6">
        <v>44573</v>
      </c>
      <c r="C920" s="2" t="s">
        <v>5677</v>
      </c>
      <c r="D920" t="s">
        <v>6144</v>
      </c>
      <c r="E920" s="2">
        <v>3</v>
      </c>
      <c r="F920" s="2" t="str">
        <f>_xlfn.XLOOKUP(C920,customers!$A$1:$A$1001,customers!$B$1:$B$1001,,0,1)</f>
        <v>Chloris Sorrell</v>
      </c>
      <c r="G920" s="2" t="str">
        <f>IF((_xlfn.XLOOKUP(C920,customers!$A$2:$A$1001,customers!$C$2:$C$1001,,,)=0),"",(_xlfn.XLOOKUP(C920,customers!$A$2:$A$1001,customers!$C$2:$C$1001,,0,)))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14"/>
        <v>21.87</v>
      </c>
      <c r="N920" t="str" cm="1">
        <f t="array" ref="N920">_xlfn.IFS(I920="rob","Robusta",I920="exc","Excesla",I920="ara","Arabica",I920="lib","Liberica")</f>
        <v>Excesla</v>
      </c>
      <c r="O920" t="str" cm="1">
        <f t="array" ref="O920">_xlfn.IFS(J920="m","Medium",J920="l","Light",J920="d","Dark")</f>
        <v>Dark</v>
      </c>
      <c r="P920" t="str">
        <f>_xlfn.XLOOKUP(orders[[#This Row],[Customer ID]],customers!$A$2:$A$1001,customers!$I$2:$I$1001,,0)</f>
        <v>No</v>
      </c>
    </row>
    <row r="921" spans="1:16" x14ac:dyDescent="0.3">
      <c r="A921" s="2" t="s">
        <v>5687</v>
      </c>
      <c r="B921" s="6">
        <v>44181</v>
      </c>
      <c r="C921" s="2" t="s">
        <v>5688</v>
      </c>
      <c r="D921" t="s">
        <v>6163</v>
      </c>
      <c r="E921" s="2">
        <v>5</v>
      </c>
      <c r="F921" s="2" t="str">
        <f>_xlfn.XLOOKUP(C921,customers!$A$1:$A$1001,customers!$B$1:$B$1001,,0,1)</f>
        <v>Quintina Heavyside</v>
      </c>
      <c r="G921" s="2" t="str">
        <f>IF((_xlfn.XLOOKUP(C921,customers!$A$2:$A$1001,customers!$C$2:$C$1001,,,)=0),"",(_xlfn.XLOOKUP(C921,customers!$A$2:$A$1001,customers!$C$2:$C$1001,,0,)))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14"/>
        <v>13.424999999999997</v>
      </c>
      <c r="N921" t="str" cm="1">
        <f t="array" ref="N921">_xlfn.IFS(I921="rob","Robusta",I921="exc","Excesla",I921="ara","Arabica",I921="lib","Liberica")</f>
        <v>Robusta</v>
      </c>
      <c r="O921" t="str" cm="1">
        <f t="array" ref="O921">_xlfn.IFS(J921="m","Medium",J921="l","Light",J921="d","Dark")</f>
        <v>Dark</v>
      </c>
      <c r="P921" t="str">
        <f>_xlfn.XLOOKUP(orders[[#This Row],[Customer ID]],customers!$A$2:$A$1001,customers!$I$2:$I$1001,,0)</f>
        <v>Yes</v>
      </c>
    </row>
    <row r="922" spans="1:16" x14ac:dyDescent="0.3">
      <c r="A922" s="2" t="s">
        <v>5693</v>
      </c>
      <c r="B922" s="6">
        <v>44711</v>
      </c>
      <c r="C922" s="2" t="s">
        <v>5694</v>
      </c>
      <c r="D922" t="s">
        <v>6149</v>
      </c>
      <c r="E922" s="2">
        <v>6</v>
      </c>
      <c r="F922" s="2" t="str">
        <f>_xlfn.XLOOKUP(C922,customers!$A$1:$A$1001,customers!$B$1:$B$1001,,0,1)</f>
        <v>Hadley Reuven</v>
      </c>
      <c r="G922" s="2" t="str">
        <f>IF((_xlfn.XLOOKUP(C922,customers!$A$2:$A$1001,customers!$C$2:$C$1001,,,)=0),"",(_xlfn.XLOOKUP(C922,customers!$A$2:$A$1001,customers!$C$2:$C$1001,,0,)))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14"/>
        <v>123.50999999999999</v>
      </c>
      <c r="N922" t="str" cm="1">
        <f t="array" ref="N922">_xlfn.IFS(I922="rob","Robusta",I922="exc","Excesla",I922="ara","Arabica",I922="lib","Liberica")</f>
        <v>Robusta</v>
      </c>
      <c r="O922" t="str" cm="1">
        <f t="array" ref="O922">_xlfn.IFS(J922="m","Medium",J922="l","Light",J922="d","Dark")</f>
        <v>Dark</v>
      </c>
      <c r="P922" t="str">
        <f>_xlfn.XLOOKUP(orders[[#This Row],[Customer ID]],customers!$A$2:$A$1001,customers!$I$2:$I$1001,,0)</f>
        <v>No</v>
      </c>
    </row>
    <row r="923" spans="1:16" x14ac:dyDescent="0.3">
      <c r="A923" s="2" t="s">
        <v>5699</v>
      </c>
      <c r="B923" s="6">
        <v>44509</v>
      </c>
      <c r="C923" s="2" t="s">
        <v>5700</v>
      </c>
      <c r="D923" t="s">
        <v>6150</v>
      </c>
      <c r="E923" s="2">
        <v>2</v>
      </c>
      <c r="F923" s="2" t="str">
        <f>_xlfn.XLOOKUP(C923,customers!$A$1:$A$1001,customers!$B$1:$B$1001,,0,1)</f>
        <v>Mitch Attwool</v>
      </c>
      <c r="G923" s="2" t="str">
        <f>IF((_xlfn.XLOOKUP(C923,customers!$A$2:$A$1001,customers!$C$2:$C$1001,,,)=0),"",(_xlfn.XLOOKUP(C923,customers!$A$2:$A$1001,customers!$C$2:$C$1001,,0,)))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14"/>
        <v>7.77</v>
      </c>
      <c r="N923" t="str" cm="1">
        <f t="array" ref="N923">_xlfn.IFS(I923="rob","Robusta",I923="exc","Excesla",I923="ara","Arabica",I923="lib","Liberica")</f>
        <v>Liberica</v>
      </c>
      <c r="O923" t="str" cm="1">
        <f t="array" ref="O923">_xlfn.IFS(J923="m","Medium",J923="l","Light",J923="d","Dark")</f>
        <v>Dark</v>
      </c>
      <c r="P923" t="str">
        <f>_xlfn.XLOOKUP(orders[[#This Row],[Customer ID]],customers!$A$2:$A$1001,customers!$I$2:$I$1001,,0)</f>
        <v>No</v>
      </c>
    </row>
    <row r="924" spans="1:16" x14ac:dyDescent="0.3">
      <c r="A924" s="2" t="s">
        <v>5705</v>
      </c>
      <c r="B924" s="6">
        <v>44659</v>
      </c>
      <c r="C924" s="2" t="s">
        <v>5706</v>
      </c>
      <c r="D924" t="s">
        <v>6155</v>
      </c>
      <c r="E924" s="2">
        <v>6</v>
      </c>
      <c r="F924" s="2" t="str">
        <f>_xlfn.XLOOKUP(C924,customers!$A$1:$A$1001,customers!$B$1:$B$1001,,0,1)</f>
        <v>Charin Maplethorp</v>
      </c>
      <c r="G924" s="2" t="str">
        <f>IF((_xlfn.XLOOKUP(C924,customers!$A$2:$A$1001,customers!$C$2:$C$1001,,,)=0),"",(_xlfn.XLOOKUP(C924,customers!$A$2:$A$1001,customers!$C$2:$C$1001,,0,)))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14"/>
        <v>67.5</v>
      </c>
      <c r="N924" t="str" cm="1">
        <f t="array" ref="N924">_xlfn.IFS(I924="rob","Robusta",I924="exc","Excesla",I924="ara","Arabica",I924="lib","Liberica")</f>
        <v>Arabica</v>
      </c>
      <c r="O924" t="str" cm="1">
        <f t="array" ref="O924">_xlfn.IFS(J924="m","Medium",J924="l","Light",J924="d","Dark")</f>
        <v>Medium</v>
      </c>
      <c r="P924" t="str">
        <f>_xlfn.XLOOKUP(orders[[#This Row],[Customer ID]],customers!$A$2:$A$1001,customers!$I$2:$I$1001,,0)</f>
        <v>Yes</v>
      </c>
    </row>
    <row r="925" spans="1:16" x14ac:dyDescent="0.3">
      <c r="A925" s="2" t="s">
        <v>5709</v>
      </c>
      <c r="B925" s="6">
        <v>43746</v>
      </c>
      <c r="C925" s="2" t="s">
        <v>5710</v>
      </c>
      <c r="D925" t="s">
        <v>6185</v>
      </c>
      <c r="E925" s="2">
        <v>1</v>
      </c>
      <c r="F925" s="2" t="str">
        <f>_xlfn.XLOOKUP(C925,customers!$A$1:$A$1001,customers!$B$1:$B$1001,,0,1)</f>
        <v>Goldie Wynes</v>
      </c>
      <c r="G925" s="2" t="str">
        <f>IF((_xlfn.XLOOKUP(C925,customers!$A$2:$A$1001,customers!$C$2:$C$1001,,,)=0),"",(_xlfn.XLOOKUP(C925,customers!$A$2:$A$1001,customers!$C$2:$C$1001,,0,)))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14"/>
        <v>27.945</v>
      </c>
      <c r="N925" t="str" cm="1">
        <f t="array" ref="N925">_xlfn.IFS(I925="rob","Robusta",I925="exc","Excesla",I925="ara","Arabica",I925="lib","Liberica")</f>
        <v>Excesla</v>
      </c>
      <c r="O925" t="str" cm="1">
        <f t="array" ref="O925">_xlfn.IFS(J925="m","Medium",J925="l","Light",J925="d","Dark")</f>
        <v>Dark</v>
      </c>
      <c r="P925" t="str">
        <f>_xlfn.XLOOKUP(orders[[#This Row],[Customer ID]],customers!$A$2:$A$1001,customers!$I$2:$I$1001,,0)</f>
        <v>No</v>
      </c>
    </row>
    <row r="926" spans="1:16" x14ac:dyDescent="0.3">
      <c r="A926" s="2" t="s">
        <v>5715</v>
      </c>
      <c r="B926" s="6">
        <v>44451</v>
      </c>
      <c r="C926" s="2" t="s">
        <v>5716</v>
      </c>
      <c r="D926" t="s">
        <v>6182</v>
      </c>
      <c r="E926" s="2">
        <v>3</v>
      </c>
      <c r="F926" s="2" t="str">
        <f>_xlfn.XLOOKUP(C926,customers!$A$1:$A$1001,customers!$B$1:$B$1001,,0,1)</f>
        <v>Celie MacCourt</v>
      </c>
      <c r="G926" s="2" t="str">
        <f>IF((_xlfn.XLOOKUP(C926,customers!$A$2:$A$1001,customers!$C$2:$C$1001,,,)=0),"",(_xlfn.XLOOKUP(C926,customers!$A$2:$A$1001,customers!$C$2:$C$1001,,0,)))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14"/>
        <v>89.35499999999999</v>
      </c>
      <c r="N926" t="str" cm="1">
        <f t="array" ref="N926">_xlfn.IFS(I926="rob","Robusta",I926="exc","Excesla",I926="ara","Arabica",I926="lib","Liberica")</f>
        <v>Arabica</v>
      </c>
      <c r="O926" t="str" cm="1">
        <f t="array" ref="O926">_xlfn.IFS(J926="m","Medium",J926="l","Light",J926="d","Dark")</f>
        <v>Light</v>
      </c>
      <c r="P926" t="str">
        <f>_xlfn.XLOOKUP(orders[[#This Row],[Customer ID]],customers!$A$2:$A$1001,customers!$I$2:$I$1001,,0)</f>
        <v>No</v>
      </c>
    </row>
    <row r="927" spans="1:16" x14ac:dyDescent="0.3">
      <c r="A927" s="2" t="s">
        <v>5720</v>
      </c>
      <c r="B927" s="6">
        <v>44770</v>
      </c>
      <c r="C927" s="2" t="s">
        <v>5554</v>
      </c>
      <c r="D927" t="s">
        <v>6157</v>
      </c>
      <c r="E927" s="2">
        <v>3</v>
      </c>
      <c r="F927" s="2" t="str">
        <f>_xlfn.XLOOKUP(C927,customers!$A$1:$A$1001,customers!$B$1:$B$1001,,0,1)</f>
        <v>Derick Snow</v>
      </c>
      <c r="G927" s="2" t="str">
        <f>IF((_xlfn.XLOOKUP(C927,customers!$A$2:$A$1001,customers!$C$2:$C$1001,,,)=0),"",(_xlfn.XLOOKUP(C927,customers!$A$2:$A$1001,customers!$C$2:$C$1001,,0,)))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14"/>
        <v>20.25</v>
      </c>
      <c r="N927" t="str" cm="1">
        <f t="array" ref="N927">_xlfn.IFS(I927="rob","Robusta",I927="exc","Excesla",I927="ara","Arabica",I927="lib","Liberica")</f>
        <v>Arabica</v>
      </c>
      <c r="O927" t="str" cm="1">
        <f t="array" ref="O927">_xlfn.IFS(J927="m","Medium",J927="l","Light",J927="d","Dark")</f>
        <v>Medium</v>
      </c>
      <c r="P927" t="str">
        <f>_xlfn.XLOOKUP(orders[[#This Row],[Customer ID]],customers!$A$2:$A$1001,customers!$I$2:$I$1001,,0)</f>
        <v>No</v>
      </c>
    </row>
    <row r="928" spans="1:16" x14ac:dyDescent="0.3">
      <c r="A928" s="2" t="s">
        <v>5725</v>
      </c>
      <c r="B928" s="6">
        <v>44012</v>
      </c>
      <c r="C928" s="2" t="s">
        <v>5726</v>
      </c>
      <c r="D928" t="s">
        <v>6157</v>
      </c>
      <c r="E928" s="2">
        <v>5</v>
      </c>
      <c r="F928" s="2" t="str">
        <f>_xlfn.XLOOKUP(C928,customers!$A$1:$A$1001,customers!$B$1:$B$1001,,0,1)</f>
        <v>Evy Wilsone</v>
      </c>
      <c r="G928" s="2" t="str">
        <f>IF((_xlfn.XLOOKUP(C928,customers!$A$2:$A$1001,customers!$C$2:$C$1001,,,)=0),"",(_xlfn.XLOOKUP(C928,customers!$A$2:$A$1001,customers!$C$2:$C$1001,,0,)))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14"/>
        <v>33.75</v>
      </c>
      <c r="N928" t="str" cm="1">
        <f t="array" ref="N928">_xlfn.IFS(I928="rob","Robusta",I928="exc","Excesla",I928="ara","Arabica",I928="lib","Liberica")</f>
        <v>Arabica</v>
      </c>
      <c r="O928" t="str" cm="1">
        <f t="array" ref="O928">_xlfn.IFS(J928="m","Medium",J928="l","Light",J928="d","Dark")</f>
        <v>Medium</v>
      </c>
      <c r="P928" t="str">
        <f>_xlfn.XLOOKUP(orders[[#This Row],[Customer ID]],customers!$A$2:$A$1001,customers!$I$2:$I$1001,,0)</f>
        <v>Yes</v>
      </c>
    </row>
    <row r="929" spans="1:16" x14ac:dyDescent="0.3">
      <c r="A929" s="2" t="s">
        <v>5731</v>
      </c>
      <c r="B929" s="6">
        <v>43474</v>
      </c>
      <c r="C929" s="2" t="s">
        <v>5732</v>
      </c>
      <c r="D929" t="s">
        <v>6185</v>
      </c>
      <c r="E929" s="2">
        <v>4</v>
      </c>
      <c r="F929" s="2" t="str">
        <f>_xlfn.XLOOKUP(C929,customers!$A$1:$A$1001,customers!$B$1:$B$1001,,0,1)</f>
        <v>Dolores Duffie</v>
      </c>
      <c r="G929" s="2" t="str">
        <f>IF((_xlfn.XLOOKUP(C929,customers!$A$2:$A$1001,customers!$C$2:$C$1001,,,)=0),"",(_xlfn.XLOOKUP(C929,customers!$A$2:$A$1001,customers!$C$2:$C$1001,,0,)))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14"/>
        <v>111.78</v>
      </c>
      <c r="N929" t="str" cm="1">
        <f t="array" ref="N929">_xlfn.IFS(I929="rob","Robusta",I929="exc","Excesla",I929="ara","Arabica",I929="lib","Liberica")</f>
        <v>Excesla</v>
      </c>
      <c r="O929" t="str" cm="1">
        <f t="array" ref="O929">_xlfn.IFS(J929="m","Medium",J929="l","Light",J929="d","Dark")</f>
        <v>Dark</v>
      </c>
      <c r="P929" t="str">
        <f>_xlfn.XLOOKUP(orders[[#This Row],[Customer ID]],customers!$A$2:$A$1001,customers!$I$2:$I$1001,,0)</f>
        <v>No</v>
      </c>
    </row>
    <row r="930" spans="1:16" x14ac:dyDescent="0.3">
      <c r="A930" s="2" t="s">
        <v>5737</v>
      </c>
      <c r="B930" s="6">
        <v>44754</v>
      </c>
      <c r="C930" s="2" t="s">
        <v>5738</v>
      </c>
      <c r="D930" t="s">
        <v>6166</v>
      </c>
      <c r="E930" s="2">
        <v>2</v>
      </c>
      <c r="F930" s="2" t="str">
        <f>_xlfn.XLOOKUP(C930,customers!$A$1:$A$1001,customers!$B$1:$B$1001,,0,1)</f>
        <v>Mathilda Matiasek</v>
      </c>
      <c r="G930" s="2" t="str">
        <f>IF((_xlfn.XLOOKUP(C930,customers!$A$2:$A$1001,customers!$C$2:$C$1001,,,)=0),"",(_xlfn.XLOOKUP(C930,customers!$A$2:$A$1001,customers!$C$2:$C$1001,,0,)))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14"/>
        <v>63.249999999999993</v>
      </c>
      <c r="N930" t="str" cm="1">
        <f t="array" ref="N930">_xlfn.IFS(I930="rob","Robusta",I930="exc","Excesla",I930="ara","Arabica",I930="lib","Liberica")</f>
        <v>Excesla</v>
      </c>
      <c r="O930" t="str" cm="1">
        <f t="array" ref="O930">_xlfn.IFS(J930="m","Medium",J930="l","Light",J930="d","Dark")</f>
        <v>Medium</v>
      </c>
      <c r="P930" t="str">
        <f>_xlfn.XLOOKUP(orders[[#This Row],[Customer ID]],customers!$A$2:$A$1001,customers!$I$2:$I$1001,,0)</f>
        <v>Yes</v>
      </c>
    </row>
    <row r="931" spans="1:16" x14ac:dyDescent="0.3">
      <c r="A931" s="2" t="s">
        <v>5742</v>
      </c>
      <c r="B931" s="6">
        <v>44165</v>
      </c>
      <c r="C931" s="2" t="s">
        <v>5743</v>
      </c>
      <c r="D931" t="s">
        <v>6184</v>
      </c>
      <c r="E931" s="2">
        <v>2</v>
      </c>
      <c r="F931" s="2" t="str">
        <f>_xlfn.XLOOKUP(C931,customers!$A$1:$A$1001,customers!$B$1:$B$1001,,0,1)</f>
        <v>Jarred Camillo</v>
      </c>
      <c r="G931" s="2" t="str">
        <f>IF((_xlfn.XLOOKUP(C931,customers!$A$2:$A$1001,customers!$C$2:$C$1001,,,)=0),"",(_xlfn.XLOOKUP(C931,customers!$A$2:$A$1001,customers!$C$2:$C$1001,,0,)))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14"/>
        <v>8.91</v>
      </c>
      <c r="N931" t="str" cm="1">
        <f t="array" ref="N931">_xlfn.IFS(I931="rob","Robusta",I931="exc","Excesla",I931="ara","Arabica",I931="lib","Liberica")</f>
        <v>Excesla</v>
      </c>
      <c r="O931" t="str" cm="1">
        <f t="array" ref="O931">_xlfn.IFS(J931="m","Medium",J931="l","Light",J931="d","Dark")</f>
        <v>Light</v>
      </c>
      <c r="P931" t="str">
        <f>_xlfn.XLOOKUP(orders[[#This Row],[Customer ID]],customers!$A$2:$A$1001,customers!$I$2:$I$1001,,0)</f>
        <v>Yes</v>
      </c>
    </row>
    <row r="932" spans="1:16" x14ac:dyDescent="0.3">
      <c r="A932" s="2" t="s">
        <v>5748</v>
      </c>
      <c r="B932" s="6">
        <v>43546</v>
      </c>
      <c r="C932" s="2" t="s">
        <v>5749</v>
      </c>
      <c r="D932" t="s">
        <v>6183</v>
      </c>
      <c r="E932" s="2">
        <v>1</v>
      </c>
      <c r="F932" s="2" t="str">
        <f>_xlfn.XLOOKUP(C932,customers!$A$1:$A$1001,customers!$B$1:$B$1001,,0,1)</f>
        <v>Kameko Philbrick</v>
      </c>
      <c r="G932" s="2" t="str">
        <f>IF((_xlfn.XLOOKUP(C932,customers!$A$2:$A$1001,customers!$C$2:$C$1001,,,)=0),"",(_xlfn.XLOOKUP(C932,customers!$A$2:$A$1001,customers!$C$2:$C$1001,,0,)))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14"/>
        <v>12.15</v>
      </c>
      <c r="N932" t="str" cm="1">
        <f t="array" ref="N932">_xlfn.IFS(I932="rob","Robusta",I932="exc","Excesla",I932="ara","Arabica",I932="lib","Liberica")</f>
        <v>Excesla</v>
      </c>
      <c r="O932" t="str" cm="1">
        <f t="array" ref="O932">_xlfn.IFS(J932="m","Medium",J932="l","Light",J932="d","Dark")</f>
        <v>Dark</v>
      </c>
      <c r="P932" t="str">
        <f>_xlfn.XLOOKUP(orders[[#This Row],[Customer ID]],customers!$A$2:$A$1001,customers!$I$2:$I$1001,,0)</f>
        <v>Yes</v>
      </c>
    </row>
    <row r="933" spans="1:16" x14ac:dyDescent="0.3">
      <c r="A933" s="2" t="s">
        <v>5753</v>
      </c>
      <c r="B933" s="6">
        <v>44607</v>
      </c>
      <c r="C933" s="2" t="s">
        <v>5754</v>
      </c>
      <c r="D933" t="s">
        <v>6158</v>
      </c>
      <c r="E933" s="2">
        <v>4</v>
      </c>
      <c r="F933" s="2" t="str">
        <f>_xlfn.XLOOKUP(C933,customers!$A$1:$A$1001,customers!$B$1:$B$1001,,0,1)</f>
        <v>Mallory Shrimpling</v>
      </c>
      <c r="G933" s="2" t="str">
        <f>IF((_xlfn.XLOOKUP(C933,customers!$A$2:$A$1001,customers!$C$2:$C$1001,,,)=0),"",(_xlfn.XLOOKUP(C933,customers!$A$2:$A$1001,customers!$C$2:$C$1001,,0,)))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14"/>
        <v>23.88</v>
      </c>
      <c r="N933" t="str" cm="1">
        <f t="array" ref="N933">_xlfn.IFS(I933="rob","Robusta",I933="exc","Excesla",I933="ara","Arabica",I933="lib","Liberica")</f>
        <v>Arabica</v>
      </c>
      <c r="O933" t="str" cm="1">
        <f t="array" ref="O933">_xlfn.IFS(J933="m","Medium",J933="l","Light",J933="d","Dark")</f>
        <v>Dark</v>
      </c>
      <c r="P933" t="str">
        <f>_xlfn.XLOOKUP(orders[[#This Row],[Customer ID]],customers!$A$2:$A$1001,customers!$I$2:$I$1001,,0)</f>
        <v>Yes</v>
      </c>
    </row>
    <row r="934" spans="1:16" x14ac:dyDescent="0.3">
      <c r="A934" s="2" t="s">
        <v>5757</v>
      </c>
      <c r="B934" s="6">
        <v>44117</v>
      </c>
      <c r="C934" s="2" t="s">
        <v>5758</v>
      </c>
      <c r="D934" t="s">
        <v>6141</v>
      </c>
      <c r="E934" s="2">
        <v>4</v>
      </c>
      <c r="F934" s="2" t="str">
        <f>_xlfn.XLOOKUP(C934,customers!$A$1:$A$1001,customers!$B$1:$B$1001,,0,1)</f>
        <v>Barnett Sillis</v>
      </c>
      <c r="G934" s="2" t="str">
        <f>IF((_xlfn.XLOOKUP(C934,customers!$A$2:$A$1001,customers!$C$2:$C$1001,,,)=0),"",(_xlfn.XLOOKUP(C934,customers!$A$2:$A$1001,customers!$C$2:$C$1001,,0,)))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14"/>
        <v>55</v>
      </c>
      <c r="N934" t="str" cm="1">
        <f t="array" ref="N934">_xlfn.IFS(I934="rob","Robusta",I934="exc","Excesla",I934="ara","Arabica",I934="lib","Liberica")</f>
        <v>Excesla</v>
      </c>
      <c r="O934" t="str" cm="1">
        <f t="array" ref="O934">_xlfn.IFS(J934="m","Medium",J934="l","Light",J934="d","Dark")</f>
        <v>Medium</v>
      </c>
      <c r="P934" t="str">
        <f>_xlfn.XLOOKUP(orders[[#This Row],[Customer ID]],customers!$A$2:$A$1001,customers!$I$2:$I$1001,,0)</f>
        <v>No</v>
      </c>
    </row>
    <row r="935" spans="1:16" x14ac:dyDescent="0.3">
      <c r="A935" s="2" t="s">
        <v>5763</v>
      </c>
      <c r="B935" s="6">
        <v>44557</v>
      </c>
      <c r="C935" s="2" t="s">
        <v>5764</v>
      </c>
      <c r="D935" t="s">
        <v>6177</v>
      </c>
      <c r="E935" s="2">
        <v>3</v>
      </c>
      <c r="F935" s="2" t="str">
        <f>_xlfn.XLOOKUP(C935,customers!$A$1:$A$1001,customers!$B$1:$B$1001,,0,1)</f>
        <v>Brenn Dundredge</v>
      </c>
      <c r="G935" s="2" t="str">
        <f>IF((_xlfn.XLOOKUP(C935,customers!$A$2:$A$1001,customers!$C$2:$C$1001,,,)=0),"",(_xlfn.XLOOKUP(C935,customers!$A$2:$A$1001,customers!$C$2:$C$1001,,0,)))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14"/>
        <v>26.849999999999998</v>
      </c>
      <c r="N935" t="str" cm="1">
        <f t="array" ref="N935">_xlfn.IFS(I935="rob","Robusta",I935="exc","Excesla",I935="ara","Arabica",I935="lib","Liberica")</f>
        <v>Robusta</v>
      </c>
      <c r="O935" t="str" cm="1">
        <f t="array" ref="O935">_xlfn.IFS(J935="m","Medium",J935="l","Light",J935="d","Dark")</f>
        <v>Dark</v>
      </c>
      <c r="P935" t="str">
        <f>_xlfn.XLOOKUP(orders[[#This Row],[Customer ID]],customers!$A$2:$A$1001,customers!$I$2:$I$1001,,0)</f>
        <v>Yes</v>
      </c>
    </row>
    <row r="936" spans="1:16" x14ac:dyDescent="0.3">
      <c r="A936" s="2" t="s">
        <v>5768</v>
      </c>
      <c r="B936" s="6">
        <v>44409</v>
      </c>
      <c r="C936" s="2" t="s">
        <v>5769</v>
      </c>
      <c r="D936" t="s">
        <v>6151</v>
      </c>
      <c r="E936" s="2">
        <v>5</v>
      </c>
      <c r="F936" s="2" t="str">
        <f>_xlfn.XLOOKUP(C936,customers!$A$1:$A$1001,customers!$B$1:$B$1001,,0,1)</f>
        <v>Read Cutts</v>
      </c>
      <c r="G936" s="2" t="str">
        <f>IF((_xlfn.XLOOKUP(C936,customers!$A$2:$A$1001,customers!$C$2:$C$1001,,,)=0),"",(_xlfn.XLOOKUP(C936,customers!$A$2:$A$1001,customers!$C$2:$C$1001,,0,)))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14"/>
        <v>114.42499999999998</v>
      </c>
      <c r="N936" t="str" cm="1">
        <f t="array" ref="N936">_xlfn.IFS(I936="rob","Robusta",I936="exc","Excesla",I936="ara","Arabica",I936="lib","Liberica")</f>
        <v>Robusta</v>
      </c>
      <c r="O936" t="str" cm="1">
        <f t="array" ref="O936">_xlfn.IFS(J936="m","Medium",J936="l","Light",J936="d","Dark")</f>
        <v>Medium</v>
      </c>
      <c r="P936" t="str">
        <f>_xlfn.XLOOKUP(orders[[#This Row],[Customer ID]],customers!$A$2:$A$1001,customers!$I$2:$I$1001,,0)</f>
        <v>No</v>
      </c>
    </row>
    <row r="937" spans="1:16" x14ac:dyDescent="0.3">
      <c r="A937" s="2" t="s">
        <v>5774</v>
      </c>
      <c r="B937" s="6">
        <v>44153</v>
      </c>
      <c r="C937" s="2" t="s">
        <v>5775</v>
      </c>
      <c r="D937" t="s">
        <v>6175</v>
      </c>
      <c r="E937" s="2">
        <v>6</v>
      </c>
      <c r="F937" s="2" t="str">
        <f>_xlfn.XLOOKUP(C937,customers!$A$1:$A$1001,customers!$B$1:$B$1001,,0,1)</f>
        <v>Michale Delves</v>
      </c>
      <c r="G937" s="2" t="str">
        <f>IF((_xlfn.XLOOKUP(C937,customers!$A$2:$A$1001,customers!$C$2:$C$1001,,,)=0),"",(_xlfn.XLOOKUP(C937,customers!$A$2:$A$1001,customers!$C$2:$C$1001,,0,)))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14"/>
        <v>155.24999999999997</v>
      </c>
      <c r="N937" t="str" cm="1">
        <f t="array" ref="N937">_xlfn.IFS(I937="rob","Robusta",I937="exc","Excesla",I937="ara","Arabica",I937="lib","Liberica")</f>
        <v>Arabica</v>
      </c>
      <c r="O937" t="str" cm="1">
        <f t="array" ref="O937">_xlfn.IFS(J937="m","Medium",J937="l","Light",J937="d","Dark")</f>
        <v>Medium</v>
      </c>
      <c r="P937" t="str">
        <f>_xlfn.XLOOKUP(orders[[#This Row],[Customer ID]],customers!$A$2:$A$1001,customers!$I$2:$I$1001,,0)</f>
        <v>Yes</v>
      </c>
    </row>
    <row r="938" spans="1:16" x14ac:dyDescent="0.3">
      <c r="A938" s="2" t="s">
        <v>5780</v>
      </c>
      <c r="B938" s="6">
        <v>44493</v>
      </c>
      <c r="C938" s="2" t="s">
        <v>5781</v>
      </c>
      <c r="D938" t="s">
        <v>6169</v>
      </c>
      <c r="E938" s="2">
        <v>3</v>
      </c>
      <c r="F938" s="2" t="str">
        <f>_xlfn.XLOOKUP(C938,customers!$A$1:$A$1001,customers!$B$1:$B$1001,,0,1)</f>
        <v>Devland Gritton</v>
      </c>
      <c r="G938" s="2" t="str">
        <f>IF((_xlfn.XLOOKUP(C938,customers!$A$2:$A$1001,customers!$C$2:$C$1001,,,)=0),"",(_xlfn.XLOOKUP(C938,customers!$A$2:$A$1001,customers!$C$2:$C$1001,,0,)))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14"/>
        <v>23.31</v>
      </c>
      <c r="N938" t="str" cm="1">
        <f t="array" ref="N938">_xlfn.IFS(I938="rob","Robusta",I938="exc","Excesla",I938="ara","Arabica",I938="lib","Liberica")</f>
        <v>Liberica</v>
      </c>
      <c r="O938" t="str" cm="1">
        <f t="array" ref="O938">_xlfn.IFS(J938="m","Medium",J938="l","Light",J938="d","Dark")</f>
        <v>Dark</v>
      </c>
      <c r="P938" t="str">
        <f>_xlfn.XLOOKUP(orders[[#This Row],[Customer ID]],customers!$A$2:$A$1001,customers!$I$2:$I$1001,,0)</f>
        <v>Yes</v>
      </c>
    </row>
    <row r="939" spans="1:16" x14ac:dyDescent="0.3">
      <c r="A939" s="2" t="s">
        <v>5780</v>
      </c>
      <c r="B939" s="6">
        <v>44493</v>
      </c>
      <c r="C939" s="2" t="s">
        <v>5781</v>
      </c>
      <c r="D939" t="s">
        <v>6151</v>
      </c>
      <c r="E939" s="2">
        <v>4</v>
      </c>
      <c r="F939" s="2" t="str">
        <f>_xlfn.XLOOKUP(C939,customers!$A$1:$A$1001,customers!$B$1:$B$1001,,0,1)</f>
        <v>Devland Gritton</v>
      </c>
      <c r="G939" s="2" t="str">
        <f>IF((_xlfn.XLOOKUP(C939,customers!$A$2:$A$1001,customers!$C$2:$C$1001,,,)=0),"",(_xlfn.XLOOKUP(C939,customers!$A$2:$A$1001,customers!$C$2:$C$1001,,0,)))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14"/>
        <v>91.539999999999992</v>
      </c>
      <c r="N939" t="str" cm="1">
        <f t="array" ref="N939">_xlfn.IFS(I939="rob","Robusta",I939="exc","Excesla",I939="ara","Arabica",I939="lib","Liberica")</f>
        <v>Robusta</v>
      </c>
      <c r="O939" t="str" cm="1">
        <f t="array" ref="O939">_xlfn.IFS(J939="m","Medium",J939="l","Light",J939="d","Dark")</f>
        <v>Medium</v>
      </c>
      <c r="P939" t="str">
        <f>_xlfn.XLOOKUP(orders[[#This Row],[Customer ID]],customers!$A$2:$A$1001,customers!$I$2:$I$1001,,0)</f>
        <v>Yes</v>
      </c>
    </row>
    <row r="940" spans="1:16" x14ac:dyDescent="0.3">
      <c r="A940" s="2" t="s">
        <v>5791</v>
      </c>
      <c r="B940" s="6">
        <v>43829</v>
      </c>
      <c r="C940" s="2" t="s">
        <v>5792</v>
      </c>
      <c r="D940" t="s">
        <v>6171</v>
      </c>
      <c r="E940" s="2">
        <v>5</v>
      </c>
      <c r="F940" s="2" t="str">
        <f>_xlfn.XLOOKUP(C940,customers!$A$1:$A$1001,customers!$B$1:$B$1001,,0,1)</f>
        <v>Dell Gut</v>
      </c>
      <c r="G940" s="2" t="str">
        <f>IF((_xlfn.XLOOKUP(C940,customers!$A$2:$A$1001,customers!$C$2:$C$1001,,,)=0),"",(_xlfn.XLOOKUP(C940,customers!$A$2:$A$1001,customers!$C$2:$C$1001,,0,)))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14"/>
        <v>74.25</v>
      </c>
      <c r="N940" t="str" cm="1">
        <f t="array" ref="N940">_xlfn.IFS(I940="rob","Robusta",I940="exc","Excesla",I940="ara","Arabica",I940="lib","Liberica")</f>
        <v>Excesla</v>
      </c>
      <c r="O940" t="str" cm="1">
        <f t="array" ref="O940">_xlfn.IFS(J940="m","Medium",J940="l","Light",J940="d","Dark")</f>
        <v>Light</v>
      </c>
      <c r="P940" t="str">
        <f>_xlfn.XLOOKUP(orders[[#This Row],[Customer ID]],customers!$A$2:$A$1001,customers!$I$2:$I$1001,,0)</f>
        <v>Yes</v>
      </c>
    </row>
    <row r="941" spans="1:16" x14ac:dyDescent="0.3">
      <c r="A941" s="2" t="s">
        <v>5797</v>
      </c>
      <c r="B941" s="6">
        <v>44229</v>
      </c>
      <c r="C941" s="2" t="s">
        <v>5798</v>
      </c>
      <c r="D941" t="s">
        <v>6145</v>
      </c>
      <c r="E941" s="2">
        <v>6</v>
      </c>
      <c r="F941" s="2" t="str">
        <f>_xlfn.XLOOKUP(C941,customers!$A$1:$A$1001,customers!$B$1:$B$1001,,0,1)</f>
        <v>Willy Pummery</v>
      </c>
      <c r="G941" s="2" t="str">
        <f>IF((_xlfn.XLOOKUP(C941,customers!$A$2:$A$1001,customers!$C$2:$C$1001,,,)=0),"",(_xlfn.XLOOKUP(C941,customers!$A$2:$A$1001,customers!$C$2:$C$1001,,0,)))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14"/>
        <v>28.53</v>
      </c>
      <c r="N941" t="str" cm="1">
        <f t="array" ref="N941">_xlfn.IFS(I941="rob","Robusta",I941="exc","Excesla",I941="ara","Arabica",I941="lib","Liberica")</f>
        <v>Liberica</v>
      </c>
      <c r="O941" t="str" cm="1">
        <f t="array" ref="O941">_xlfn.IFS(J941="m","Medium",J941="l","Light",J941="d","Dark")</f>
        <v>Light</v>
      </c>
      <c r="P941" t="str">
        <f>_xlfn.XLOOKUP(orders[[#This Row],[Customer ID]],customers!$A$2:$A$1001,customers!$I$2:$I$1001,,0)</f>
        <v>No</v>
      </c>
    </row>
    <row r="942" spans="1:16" x14ac:dyDescent="0.3">
      <c r="A942" s="2" t="s">
        <v>5803</v>
      </c>
      <c r="B942" s="6">
        <v>44332</v>
      </c>
      <c r="C942" s="2" t="s">
        <v>5804</v>
      </c>
      <c r="D942" t="s">
        <v>6173</v>
      </c>
      <c r="E942" s="2">
        <v>2</v>
      </c>
      <c r="F942" s="2" t="str">
        <f>_xlfn.XLOOKUP(C942,customers!$A$1:$A$1001,customers!$B$1:$B$1001,,0,1)</f>
        <v>Geoffrey Siuda</v>
      </c>
      <c r="G942" s="2" t="str">
        <f>IF((_xlfn.XLOOKUP(C942,customers!$A$2:$A$1001,customers!$C$2:$C$1001,,,)=0),"",(_xlfn.XLOOKUP(C942,customers!$A$2:$A$1001,customers!$C$2:$C$1001,,0,)))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14"/>
        <v>14.339999999999998</v>
      </c>
      <c r="N942" t="str" cm="1">
        <f t="array" ref="N942">_xlfn.IFS(I942="rob","Robusta",I942="exc","Excesla",I942="ara","Arabica",I942="lib","Liberica")</f>
        <v>Robusta</v>
      </c>
      <c r="O942" t="str" cm="1">
        <f t="array" ref="O942">_xlfn.IFS(J942="m","Medium",J942="l","Light",J942="d","Dark")</f>
        <v>Light</v>
      </c>
      <c r="P942" t="str">
        <f>_xlfn.XLOOKUP(orders[[#This Row],[Customer ID]],customers!$A$2:$A$1001,customers!$I$2:$I$1001,,0)</f>
        <v>Yes</v>
      </c>
    </row>
    <row r="943" spans="1:16" x14ac:dyDescent="0.3">
      <c r="A943" s="2" t="s">
        <v>5809</v>
      </c>
      <c r="B943" s="6">
        <v>44674</v>
      </c>
      <c r="C943" s="2" t="s">
        <v>5810</v>
      </c>
      <c r="D943" t="s">
        <v>6180</v>
      </c>
      <c r="E943" s="2">
        <v>2</v>
      </c>
      <c r="F943" s="2" t="str">
        <f>_xlfn.XLOOKUP(C943,customers!$A$1:$A$1001,customers!$B$1:$B$1001,,0,1)</f>
        <v>Henderson Crowne</v>
      </c>
      <c r="G943" s="2" t="str">
        <f>IF((_xlfn.XLOOKUP(C943,customers!$A$2:$A$1001,customers!$C$2:$C$1001,,,)=0),"",(_xlfn.XLOOKUP(C943,customers!$A$2:$A$1001,customers!$C$2:$C$1001,,0,)))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14"/>
        <v>15.54</v>
      </c>
      <c r="N943" t="str" cm="1">
        <f t="array" ref="N943">_xlfn.IFS(I943="rob","Robusta",I943="exc","Excesla",I943="ara","Arabica",I943="lib","Liberica")</f>
        <v>Arabica</v>
      </c>
      <c r="O943" t="str" cm="1">
        <f t="array" ref="O943">_xlfn.IFS(J943="m","Medium",J943="l","Light",J943="d","Dark")</f>
        <v>Light</v>
      </c>
      <c r="P943" t="str">
        <f>_xlfn.XLOOKUP(orders[[#This Row],[Customer ID]],customers!$A$2:$A$1001,customers!$I$2:$I$1001,,0)</f>
        <v>Yes</v>
      </c>
    </row>
    <row r="944" spans="1:16" x14ac:dyDescent="0.3">
      <c r="A944" s="2" t="s">
        <v>5816</v>
      </c>
      <c r="B944" s="6">
        <v>44464</v>
      </c>
      <c r="C944" s="2" t="s">
        <v>5817</v>
      </c>
      <c r="D944" t="s">
        <v>6179</v>
      </c>
      <c r="E944" s="2">
        <v>3</v>
      </c>
      <c r="F944" s="2" t="str">
        <f>_xlfn.XLOOKUP(C944,customers!$A$1:$A$1001,customers!$B$1:$B$1001,,0,1)</f>
        <v>Vernor Pawsey</v>
      </c>
      <c r="G944" s="2" t="str">
        <f>IF((_xlfn.XLOOKUP(C944,customers!$A$2:$A$1001,customers!$C$2:$C$1001,,,)=0),"",(_xlfn.XLOOKUP(C944,customers!$A$2:$A$1001,customers!$C$2:$C$1001,,0,)))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14"/>
        <v>35.849999999999994</v>
      </c>
      <c r="N944" t="str" cm="1">
        <f t="array" ref="N944">_xlfn.IFS(I944="rob","Robusta",I944="exc","Excesla",I944="ara","Arabica",I944="lib","Liberica")</f>
        <v>Robusta</v>
      </c>
      <c r="O944" t="str" cm="1">
        <f t="array" ref="O944">_xlfn.IFS(J944="m","Medium",J944="l","Light",J944="d","Dark")</f>
        <v>Light</v>
      </c>
      <c r="P944" t="str">
        <f>_xlfn.XLOOKUP(orders[[#This Row],[Customer ID]],customers!$A$2:$A$1001,customers!$I$2:$I$1001,,0)</f>
        <v>No</v>
      </c>
    </row>
    <row r="945" spans="1:16" x14ac:dyDescent="0.3">
      <c r="A945" s="2" t="s">
        <v>5822</v>
      </c>
      <c r="B945" s="6">
        <v>44719</v>
      </c>
      <c r="C945" s="2" t="s">
        <v>5823</v>
      </c>
      <c r="D945" t="s">
        <v>6180</v>
      </c>
      <c r="E945" s="2">
        <v>6</v>
      </c>
      <c r="F945" s="2" t="str">
        <f>_xlfn.XLOOKUP(C945,customers!$A$1:$A$1001,customers!$B$1:$B$1001,,0,1)</f>
        <v>Augustin Waterhouse</v>
      </c>
      <c r="G945" s="2" t="str">
        <f>IF((_xlfn.XLOOKUP(C945,customers!$A$2:$A$1001,customers!$C$2:$C$1001,,,)=0),"",(_xlfn.XLOOKUP(C945,customers!$A$2:$A$1001,customers!$C$2:$C$1001,,0,)))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14"/>
        <v>46.62</v>
      </c>
      <c r="N945" t="str" cm="1">
        <f t="array" ref="N945">_xlfn.IFS(I945="rob","Robusta",I945="exc","Excesla",I945="ara","Arabica",I945="lib","Liberica")</f>
        <v>Arabica</v>
      </c>
      <c r="O945" t="str" cm="1">
        <f t="array" ref="O945">_xlfn.IFS(J945="m","Medium",J945="l","Light",J945="d","Dark")</f>
        <v>Light</v>
      </c>
      <c r="P945" t="str">
        <f>_xlfn.XLOOKUP(orders[[#This Row],[Customer ID]],customers!$A$2:$A$1001,customers!$I$2:$I$1001,,0)</f>
        <v>No</v>
      </c>
    </row>
    <row r="946" spans="1:16" x14ac:dyDescent="0.3">
      <c r="A946" s="2" t="s">
        <v>5828</v>
      </c>
      <c r="B946" s="6">
        <v>44054</v>
      </c>
      <c r="C946" s="2" t="s">
        <v>5829</v>
      </c>
      <c r="D946" t="s">
        <v>6173</v>
      </c>
      <c r="E946" s="2">
        <v>5</v>
      </c>
      <c r="F946" s="2" t="str">
        <f>_xlfn.XLOOKUP(C946,customers!$A$1:$A$1001,customers!$B$1:$B$1001,,0,1)</f>
        <v>Fanchon Haughian</v>
      </c>
      <c r="G946" s="2" t="str">
        <f>IF((_xlfn.XLOOKUP(C946,customers!$A$2:$A$1001,customers!$C$2:$C$1001,,,)=0),"",(_xlfn.XLOOKUP(C946,customers!$A$2:$A$1001,customers!$C$2:$C$1001,,0,)))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14"/>
        <v>35.849999999999994</v>
      </c>
      <c r="N946" t="str" cm="1">
        <f t="array" ref="N946">_xlfn.IFS(I946="rob","Robusta",I946="exc","Excesla",I946="ara","Arabica",I946="lib","Liberica")</f>
        <v>Robusta</v>
      </c>
      <c r="O946" t="str" cm="1">
        <f t="array" ref="O946">_xlfn.IFS(J946="m","Medium",J946="l","Light",J946="d","Dark")</f>
        <v>Light</v>
      </c>
      <c r="P946" t="str">
        <f>_xlfn.XLOOKUP(orders[[#This Row],[Customer ID]],customers!$A$2:$A$1001,customers!$I$2:$I$1001,,0)</f>
        <v>No</v>
      </c>
    </row>
    <row r="947" spans="1:16" x14ac:dyDescent="0.3">
      <c r="A947" s="2" t="s">
        <v>5834</v>
      </c>
      <c r="B947" s="6">
        <v>43524</v>
      </c>
      <c r="C947" s="2" t="s">
        <v>5835</v>
      </c>
      <c r="D947" t="s">
        <v>6165</v>
      </c>
      <c r="E947" s="2">
        <v>4</v>
      </c>
      <c r="F947" s="2" t="str">
        <f>_xlfn.XLOOKUP(C947,customers!$A$1:$A$1001,customers!$B$1:$B$1001,,0,1)</f>
        <v>Jaimie Hatz</v>
      </c>
      <c r="G947" s="2" t="str">
        <f>IF((_xlfn.XLOOKUP(C947,customers!$A$2:$A$1001,customers!$C$2:$C$1001,,,)=0),"",(_xlfn.XLOOKUP(C947,customers!$A$2:$A$1001,customers!$C$2:$C$1001,,0,)))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14"/>
        <v>119.13999999999999</v>
      </c>
      <c r="N947" t="str" cm="1">
        <f t="array" ref="N947">_xlfn.IFS(I947="rob","Robusta",I947="exc","Excesla",I947="ara","Arabica",I947="lib","Liberica")</f>
        <v>Liberica</v>
      </c>
      <c r="O947" t="str" cm="1">
        <f t="array" ref="O947">_xlfn.IFS(J947="m","Medium",J947="l","Light",J947="d","Dark")</f>
        <v>Dark</v>
      </c>
      <c r="P947" t="str">
        <f>_xlfn.XLOOKUP(orders[[#This Row],[Customer ID]],customers!$A$2:$A$1001,customers!$I$2:$I$1001,,0)</f>
        <v>No</v>
      </c>
    </row>
    <row r="948" spans="1:16" x14ac:dyDescent="0.3">
      <c r="A948" s="2" t="s">
        <v>5839</v>
      </c>
      <c r="B948" s="6">
        <v>43719</v>
      </c>
      <c r="C948" s="2" t="s">
        <v>5840</v>
      </c>
      <c r="D948" t="s">
        <v>6169</v>
      </c>
      <c r="E948" s="2">
        <v>3</v>
      </c>
      <c r="F948" s="2" t="str">
        <f>_xlfn.XLOOKUP(C948,customers!$A$1:$A$1001,customers!$B$1:$B$1001,,0,1)</f>
        <v>Edeline Edney</v>
      </c>
      <c r="G948" s="2" t="str">
        <f>IF((_xlfn.XLOOKUP(C948,customers!$A$2:$A$1001,customers!$C$2:$C$1001,,,)=0),"",(_xlfn.XLOOKUP(C948,customers!$A$2:$A$1001,customers!$C$2:$C$1001,,0,)))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14"/>
        <v>23.31</v>
      </c>
      <c r="N948" t="str" cm="1">
        <f t="array" ref="N948">_xlfn.IFS(I948="rob","Robusta",I948="exc","Excesla",I948="ara","Arabica",I948="lib","Liberica")</f>
        <v>Liberica</v>
      </c>
      <c r="O948" t="str" cm="1">
        <f t="array" ref="O948">_xlfn.IFS(J948="m","Medium",J948="l","Light",J948="d","Dark")</f>
        <v>Dark</v>
      </c>
      <c r="P948" t="str">
        <f>_xlfn.XLOOKUP(orders[[#This Row],[Customer ID]],customers!$A$2:$A$1001,customers!$I$2:$I$1001,,0)</f>
        <v>No</v>
      </c>
    </row>
    <row r="949" spans="1:16" x14ac:dyDescent="0.3">
      <c r="A949" s="2" t="s">
        <v>5844</v>
      </c>
      <c r="B949" s="6">
        <v>44294</v>
      </c>
      <c r="C949" s="2" t="s">
        <v>5845</v>
      </c>
      <c r="D949" t="s">
        <v>6155</v>
      </c>
      <c r="E949" s="2">
        <v>1</v>
      </c>
      <c r="F949" s="2" t="str">
        <f>_xlfn.XLOOKUP(C949,customers!$A$1:$A$1001,customers!$B$1:$B$1001,,0,1)</f>
        <v>Rickie Faltin</v>
      </c>
      <c r="G949" s="2" t="str">
        <f>IF((_xlfn.XLOOKUP(C949,customers!$A$2:$A$1001,customers!$C$2:$C$1001,,,)=0),"",(_xlfn.XLOOKUP(C949,customers!$A$2:$A$1001,customers!$C$2:$C$1001,,0,)))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14"/>
        <v>11.25</v>
      </c>
      <c r="N949" t="str" cm="1">
        <f t="array" ref="N949">_xlfn.IFS(I949="rob","Robusta",I949="exc","Excesla",I949="ara","Arabica",I949="lib","Liberica")</f>
        <v>Arabica</v>
      </c>
      <c r="O949" t="str" cm="1">
        <f t="array" ref="O949">_xlfn.IFS(J949="m","Medium",J949="l","Light",J949="d","Dark")</f>
        <v>Medium</v>
      </c>
      <c r="P949" t="str">
        <f>_xlfn.XLOOKUP(orders[[#This Row],[Customer ID]],customers!$A$2:$A$1001,customers!$I$2:$I$1001,,0)</f>
        <v>No</v>
      </c>
    </row>
    <row r="950" spans="1:16" x14ac:dyDescent="0.3">
      <c r="A950" s="2" t="s">
        <v>5849</v>
      </c>
      <c r="B950" s="6">
        <v>44445</v>
      </c>
      <c r="C950" s="2" t="s">
        <v>5850</v>
      </c>
      <c r="D950" t="s">
        <v>6185</v>
      </c>
      <c r="E950" s="2">
        <v>3</v>
      </c>
      <c r="F950" s="2" t="str">
        <f>_xlfn.XLOOKUP(C950,customers!$A$1:$A$1001,customers!$B$1:$B$1001,,0,1)</f>
        <v>Gnni Cheeke</v>
      </c>
      <c r="G950" s="2" t="str">
        <f>IF((_xlfn.XLOOKUP(C950,customers!$A$2:$A$1001,customers!$C$2:$C$1001,,,)=0),"",(_xlfn.XLOOKUP(C950,customers!$A$2:$A$1001,customers!$C$2:$C$1001,,0,)))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14"/>
        <v>83.835000000000008</v>
      </c>
      <c r="N950" t="str" cm="1">
        <f t="array" ref="N950">_xlfn.IFS(I950="rob","Robusta",I950="exc","Excesla",I950="ara","Arabica",I950="lib","Liberica")</f>
        <v>Excesla</v>
      </c>
      <c r="O950" t="str" cm="1">
        <f t="array" ref="O950">_xlfn.IFS(J950="m","Medium",J950="l","Light",J950="d","Dark")</f>
        <v>Dark</v>
      </c>
      <c r="P950" t="str">
        <f>_xlfn.XLOOKUP(orders[[#This Row],[Customer ID]],customers!$A$2:$A$1001,customers!$I$2:$I$1001,,0)</f>
        <v>Yes</v>
      </c>
    </row>
    <row r="951" spans="1:16" x14ac:dyDescent="0.3">
      <c r="A951" s="2" t="s">
        <v>5855</v>
      </c>
      <c r="B951" s="6">
        <v>44449</v>
      </c>
      <c r="C951" s="2" t="s">
        <v>5856</v>
      </c>
      <c r="D951" t="s">
        <v>6142</v>
      </c>
      <c r="E951" s="2">
        <v>4</v>
      </c>
      <c r="F951" s="2" t="str">
        <f>_xlfn.XLOOKUP(C951,customers!$A$1:$A$1001,customers!$B$1:$B$1001,,0,1)</f>
        <v>Gwenni Ratt</v>
      </c>
      <c r="G951" s="2" t="str">
        <f>IF((_xlfn.XLOOKUP(C951,customers!$A$2:$A$1001,customers!$C$2:$C$1001,,,)=0),"",(_xlfn.XLOOKUP(C951,customers!$A$2:$A$1001,customers!$C$2:$C$1001,,0,)))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14"/>
        <v>109.93999999999998</v>
      </c>
      <c r="N951" t="str" cm="1">
        <f t="array" ref="N951">_xlfn.IFS(I951="rob","Robusta",I951="exc","Excesla",I951="ara","Arabica",I951="lib","Liberica")</f>
        <v>Robusta</v>
      </c>
      <c r="O951" t="str" cm="1">
        <f t="array" ref="O951">_xlfn.IFS(J951="m","Medium",J951="l","Light",J951="d","Dark")</f>
        <v>Light</v>
      </c>
      <c r="P951" t="str">
        <f>_xlfn.XLOOKUP(orders[[#This Row],[Customer ID]],customers!$A$2:$A$1001,customers!$I$2:$I$1001,,0)</f>
        <v>No</v>
      </c>
    </row>
    <row r="952" spans="1:16" x14ac:dyDescent="0.3">
      <c r="A952" s="2" t="s">
        <v>5861</v>
      </c>
      <c r="B952" s="6">
        <v>44703</v>
      </c>
      <c r="C952" s="2" t="s">
        <v>5862</v>
      </c>
      <c r="D952" t="s">
        <v>6178</v>
      </c>
      <c r="E952" s="2">
        <v>4</v>
      </c>
      <c r="F952" s="2" t="str">
        <f>_xlfn.XLOOKUP(C952,customers!$A$1:$A$1001,customers!$B$1:$B$1001,,0,1)</f>
        <v>Johnath Fairebrother</v>
      </c>
      <c r="G952" s="2" t="str">
        <f>IF((_xlfn.XLOOKUP(C952,customers!$A$2:$A$1001,customers!$C$2:$C$1001,,,)=0),"",(_xlfn.XLOOKUP(C952,customers!$A$2:$A$1001,customers!$C$2:$C$1001,,0,)))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14"/>
        <v>14.339999999999998</v>
      </c>
      <c r="N952" t="str" cm="1">
        <f t="array" ref="N952">_xlfn.IFS(I952="rob","Robusta",I952="exc","Excesla",I952="ara","Arabica",I952="lib","Liberica")</f>
        <v>Robusta</v>
      </c>
      <c r="O952" t="str" cm="1">
        <f t="array" ref="O952">_xlfn.IFS(J952="m","Medium",J952="l","Light",J952="d","Dark")</f>
        <v>Light</v>
      </c>
      <c r="P952" t="str">
        <f>_xlfn.XLOOKUP(orders[[#This Row],[Customer ID]],customers!$A$2:$A$1001,customers!$I$2:$I$1001,,0)</f>
        <v>Yes</v>
      </c>
    </row>
    <row r="953" spans="1:16" x14ac:dyDescent="0.3">
      <c r="A953" s="2" t="s">
        <v>5866</v>
      </c>
      <c r="B953" s="6">
        <v>44092</v>
      </c>
      <c r="C953" s="2" t="s">
        <v>5867</v>
      </c>
      <c r="D953" t="s">
        <v>6178</v>
      </c>
      <c r="E953" s="2">
        <v>6</v>
      </c>
      <c r="F953" s="2" t="str">
        <f>_xlfn.XLOOKUP(C953,customers!$A$1:$A$1001,customers!$B$1:$B$1001,,0,1)</f>
        <v>Ingamar Eberlein</v>
      </c>
      <c r="G953" s="2" t="str">
        <f>IF((_xlfn.XLOOKUP(C953,customers!$A$2:$A$1001,customers!$C$2:$C$1001,,,)=0),"",(_xlfn.XLOOKUP(C953,customers!$A$2:$A$1001,customers!$C$2:$C$1001,,0,)))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14"/>
        <v>21.509999999999998</v>
      </c>
      <c r="N953" t="str" cm="1">
        <f t="array" ref="N953">_xlfn.IFS(I953="rob","Robusta",I953="exc","Excesla",I953="ara","Arabica",I953="lib","Liberica")</f>
        <v>Robusta</v>
      </c>
      <c r="O953" t="str" cm="1">
        <f t="array" ref="O953">_xlfn.IFS(J953="m","Medium",J953="l","Light",J953="d","Dark")</f>
        <v>Light</v>
      </c>
      <c r="P953" t="str">
        <f>_xlfn.XLOOKUP(orders[[#This Row],[Customer ID]],customers!$A$2:$A$1001,customers!$I$2:$I$1001,,0)</f>
        <v>No</v>
      </c>
    </row>
    <row r="954" spans="1:16" x14ac:dyDescent="0.3">
      <c r="A954" s="2" t="s">
        <v>5872</v>
      </c>
      <c r="B954" s="6">
        <v>44439</v>
      </c>
      <c r="C954" s="2" t="s">
        <v>5873</v>
      </c>
      <c r="D954" t="s">
        <v>6155</v>
      </c>
      <c r="E954" s="2">
        <v>2</v>
      </c>
      <c r="F954" s="2" t="str">
        <f>_xlfn.XLOOKUP(C954,customers!$A$1:$A$1001,customers!$B$1:$B$1001,,0,1)</f>
        <v>Jilly Dreng</v>
      </c>
      <c r="G954" s="2" t="str">
        <f>IF((_xlfn.XLOOKUP(C954,customers!$A$2:$A$1001,customers!$C$2:$C$1001,,,)=0),"",(_xlfn.XLOOKUP(C954,customers!$A$2:$A$1001,customers!$C$2:$C$1001,,0,)))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14"/>
        <v>22.5</v>
      </c>
      <c r="N954" t="str" cm="1">
        <f t="array" ref="N954">_xlfn.IFS(I954="rob","Robusta",I954="exc","Excesla",I954="ara","Arabica",I954="lib","Liberica")</f>
        <v>Arabica</v>
      </c>
      <c r="O954" t="str" cm="1">
        <f t="array" ref="O954">_xlfn.IFS(J954="m","Medium",J954="l","Light",J954="d","Dark")</f>
        <v>Medium</v>
      </c>
      <c r="P954" t="str">
        <f>_xlfn.XLOOKUP(orders[[#This Row],[Customer ID]],customers!$A$2:$A$1001,customers!$I$2:$I$1001,,0)</f>
        <v>Yes</v>
      </c>
    </row>
    <row r="955" spans="1:16" x14ac:dyDescent="0.3">
      <c r="A955" s="2" t="s">
        <v>5878</v>
      </c>
      <c r="B955" s="6">
        <v>44582</v>
      </c>
      <c r="C955" s="2" t="s">
        <v>5764</v>
      </c>
      <c r="D955" t="s">
        <v>6167</v>
      </c>
      <c r="E955" s="2">
        <v>1</v>
      </c>
      <c r="F955" s="2" t="str">
        <f>_xlfn.XLOOKUP(C955,customers!$A$1:$A$1001,customers!$B$1:$B$1001,,0,1)</f>
        <v>Brenn Dundredge</v>
      </c>
      <c r="G955" s="2" t="str">
        <f>IF((_xlfn.XLOOKUP(C955,customers!$A$2:$A$1001,customers!$C$2:$C$1001,,,)=0),"",(_xlfn.XLOOKUP(C955,customers!$A$2:$A$1001,customers!$C$2:$C$1001,,0,)))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14"/>
        <v>3.8849999999999998</v>
      </c>
      <c r="N955" t="str" cm="1">
        <f t="array" ref="N955">_xlfn.IFS(I955="rob","Robusta",I955="exc","Excesla",I955="ara","Arabica",I955="lib","Liberica")</f>
        <v>Arabica</v>
      </c>
      <c r="O955" t="str" cm="1">
        <f t="array" ref="O955">_xlfn.IFS(J955="m","Medium",J955="l","Light",J955="d","Dark")</f>
        <v>Light</v>
      </c>
      <c r="P955" t="str">
        <f>_xlfn.XLOOKUP(orders[[#This Row],[Customer ID]],customers!$A$2:$A$1001,customers!$I$2:$I$1001,,0)</f>
        <v>Yes</v>
      </c>
    </row>
    <row r="956" spans="1:16" x14ac:dyDescent="0.3">
      <c r="A956" s="2" t="s">
        <v>5884</v>
      </c>
      <c r="B956" s="6">
        <v>44722</v>
      </c>
      <c r="C956" s="2" t="s">
        <v>5764</v>
      </c>
      <c r="D956" t="s">
        <v>6185</v>
      </c>
      <c r="E956" s="2">
        <v>1</v>
      </c>
      <c r="F956" s="2" t="str">
        <f>_xlfn.XLOOKUP(C956,customers!$A$1:$A$1001,customers!$B$1:$B$1001,,0,1)</f>
        <v>Brenn Dundredge</v>
      </c>
      <c r="G956" s="2" t="str">
        <f>IF((_xlfn.XLOOKUP(C956,customers!$A$2:$A$1001,customers!$C$2:$C$1001,,,)=0),"",(_xlfn.XLOOKUP(C956,customers!$A$2:$A$1001,customers!$C$2:$C$1001,,0,)))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14"/>
        <v>27.945</v>
      </c>
      <c r="N956" t="str" cm="1">
        <f t="array" ref="N956">_xlfn.IFS(I956="rob","Robusta",I956="exc","Excesla",I956="ara","Arabica",I956="lib","Liberica")</f>
        <v>Excesla</v>
      </c>
      <c r="O956" t="str" cm="1">
        <f t="array" ref="O956">_xlfn.IFS(J956="m","Medium",J956="l","Light",J956="d","Dark")</f>
        <v>Dark</v>
      </c>
      <c r="P956" t="str">
        <f>_xlfn.XLOOKUP(orders[[#This Row],[Customer ID]],customers!$A$2:$A$1001,customers!$I$2:$I$1001,,0)</f>
        <v>Yes</v>
      </c>
    </row>
    <row r="957" spans="1:16" x14ac:dyDescent="0.3">
      <c r="A957" s="2" t="s">
        <v>5890</v>
      </c>
      <c r="B957" s="6">
        <v>43582</v>
      </c>
      <c r="C957" s="2" t="s">
        <v>5764</v>
      </c>
      <c r="D957" t="s">
        <v>6148</v>
      </c>
      <c r="E957" s="2">
        <v>5</v>
      </c>
      <c r="F957" s="2" t="str">
        <f>_xlfn.XLOOKUP(C957,customers!$A$1:$A$1001,customers!$B$1:$B$1001,,0,1)</f>
        <v>Brenn Dundredge</v>
      </c>
      <c r="G957" s="2" t="str">
        <f>IF((_xlfn.XLOOKUP(C957,customers!$A$2:$A$1001,customers!$C$2:$C$1001,,,)=0),"",(_xlfn.XLOOKUP(C957,customers!$A$2:$A$1001,customers!$C$2:$C$1001,,0,)))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14"/>
        <v>170.77499999999998</v>
      </c>
      <c r="N957" t="str" cm="1">
        <f t="array" ref="N957">_xlfn.IFS(I957="rob","Robusta",I957="exc","Excesla",I957="ara","Arabica",I957="lib","Liberica")</f>
        <v>Excesla</v>
      </c>
      <c r="O957" t="str" cm="1">
        <f t="array" ref="O957">_xlfn.IFS(J957="m","Medium",J957="l","Light",J957="d","Dark")</f>
        <v>Light</v>
      </c>
      <c r="P957" t="str">
        <f>_xlfn.XLOOKUP(orders[[#This Row],[Customer ID]],customers!$A$2:$A$1001,customers!$I$2:$I$1001,,0)</f>
        <v>Yes</v>
      </c>
    </row>
    <row r="958" spans="1:16" x14ac:dyDescent="0.3">
      <c r="A958" s="2" t="s">
        <v>5890</v>
      </c>
      <c r="B958" s="6">
        <v>43582</v>
      </c>
      <c r="C958" s="2" t="s">
        <v>5764</v>
      </c>
      <c r="D958" t="s">
        <v>6142</v>
      </c>
      <c r="E958" s="2">
        <v>2</v>
      </c>
      <c r="F958" s="2" t="str">
        <f>_xlfn.XLOOKUP(C958,customers!$A$1:$A$1001,customers!$B$1:$B$1001,,0,1)</f>
        <v>Brenn Dundredge</v>
      </c>
      <c r="G958" s="2" t="str">
        <f>IF((_xlfn.XLOOKUP(C958,customers!$A$2:$A$1001,customers!$C$2:$C$1001,,,)=0),"",(_xlfn.XLOOKUP(C958,customers!$A$2:$A$1001,customers!$C$2:$C$1001,,0,)))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14"/>
        <v>54.969999999999992</v>
      </c>
      <c r="N958" t="str" cm="1">
        <f t="array" ref="N958">_xlfn.IFS(I958="rob","Robusta",I958="exc","Excesla",I958="ara","Arabica",I958="lib","Liberica")</f>
        <v>Robusta</v>
      </c>
      <c r="O958" t="str" cm="1">
        <f t="array" ref="O958">_xlfn.IFS(J958="m","Medium",J958="l","Light",J958="d","Dark")</f>
        <v>Light</v>
      </c>
      <c r="P958" t="str">
        <f>_xlfn.XLOOKUP(orders[[#This Row],[Customer ID]],customers!$A$2:$A$1001,customers!$I$2:$I$1001,,0)</f>
        <v>Yes</v>
      </c>
    </row>
    <row r="959" spans="1:16" x14ac:dyDescent="0.3">
      <c r="A959" s="2" t="s">
        <v>5890</v>
      </c>
      <c r="B959" s="6">
        <v>43582</v>
      </c>
      <c r="C959" s="2" t="s">
        <v>5764</v>
      </c>
      <c r="D959" t="s">
        <v>6171</v>
      </c>
      <c r="E959" s="2">
        <v>1</v>
      </c>
      <c r="F959" s="2" t="str">
        <f>_xlfn.XLOOKUP(C959,customers!$A$1:$A$1001,customers!$B$1:$B$1001,,0,1)</f>
        <v>Brenn Dundredge</v>
      </c>
      <c r="G959" s="2" t="str">
        <f>IF((_xlfn.XLOOKUP(C959,customers!$A$2:$A$1001,customers!$C$2:$C$1001,,,)=0),"",(_xlfn.XLOOKUP(C959,customers!$A$2:$A$1001,customers!$C$2:$C$1001,,0,)))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14"/>
        <v>14.85</v>
      </c>
      <c r="N959" t="str" cm="1">
        <f t="array" ref="N959">_xlfn.IFS(I959="rob","Robusta",I959="exc","Excesla",I959="ara","Arabica",I959="lib","Liberica")</f>
        <v>Excesla</v>
      </c>
      <c r="O959" t="str" cm="1">
        <f t="array" ref="O959">_xlfn.IFS(J959="m","Medium",J959="l","Light",J959="d","Dark")</f>
        <v>Light</v>
      </c>
      <c r="P959" t="str">
        <f>_xlfn.XLOOKUP(orders[[#This Row],[Customer ID]],customers!$A$2:$A$1001,customers!$I$2:$I$1001,,0)</f>
        <v>Yes</v>
      </c>
    </row>
    <row r="960" spans="1:16" x14ac:dyDescent="0.3">
      <c r="A960" s="2" t="s">
        <v>5890</v>
      </c>
      <c r="B960" s="6">
        <v>43582</v>
      </c>
      <c r="C960" s="2" t="s">
        <v>5764</v>
      </c>
      <c r="D960" t="s">
        <v>6167</v>
      </c>
      <c r="E960" s="2">
        <v>2</v>
      </c>
      <c r="F960" s="2" t="str">
        <f>_xlfn.XLOOKUP(C960,customers!$A$1:$A$1001,customers!$B$1:$B$1001,,0,1)</f>
        <v>Brenn Dundredge</v>
      </c>
      <c r="G960" s="2" t="str">
        <f>IF((_xlfn.XLOOKUP(C960,customers!$A$2:$A$1001,customers!$C$2:$C$1001,,,)=0),"",(_xlfn.XLOOKUP(C960,customers!$A$2:$A$1001,customers!$C$2:$C$1001,,0,)))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14"/>
        <v>7.77</v>
      </c>
      <c r="N960" t="str" cm="1">
        <f t="array" ref="N960">_xlfn.IFS(I960="rob","Robusta",I960="exc","Excesla",I960="ara","Arabica",I960="lib","Liberica")</f>
        <v>Arabica</v>
      </c>
      <c r="O960" t="str" cm="1">
        <f t="array" ref="O960">_xlfn.IFS(J960="m","Medium",J960="l","Light",J960="d","Dark")</f>
        <v>Light</v>
      </c>
      <c r="P960" t="str">
        <f>_xlfn.XLOOKUP(orders[[#This Row],[Customer ID]],customers!$A$2:$A$1001,customers!$I$2:$I$1001,,0)</f>
        <v>Yes</v>
      </c>
    </row>
    <row r="961" spans="1:16" x14ac:dyDescent="0.3">
      <c r="A961" s="2" t="s">
        <v>5910</v>
      </c>
      <c r="B961" s="6">
        <v>44598</v>
      </c>
      <c r="C961" s="2" t="s">
        <v>5911</v>
      </c>
      <c r="D961" t="s">
        <v>6145</v>
      </c>
      <c r="E961" s="2">
        <v>5</v>
      </c>
      <c r="F961" s="2" t="str">
        <f>_xlfn.XLOOKUP(C961,customers!$A$1:$A$1001,customers!$B$1:$B$1001,,0,1)</f>
        <v>Rhodie Strathern</v>
      </c>
      <c r="G961" s="2" t="str">
        <f>IF((_xlfn.XLOOKUP(C961,customers!$A$2:$A$1001,customers!$C$2:$C$1001,,,)=0),"",(_xlfn.XLOOKUP(C961,customers!$A$2:$A$1001,customers!$C$2:$C$1001,,0,)))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14"/>
        <v>23.774999999999999</v>
      </c>
      <c r="N961" t="str" cm="1">
        <f t="array" ref="N961">_xlfn.IFS(I961="rob","Robusta",I961="exc","Excesla",I961="ara","Arabica",I961="lib","Liberica")</f>
        <v>Liberica</v>
      </c>
      <c r="O961" t="str" cm="1">
        <f t="array" ref="O961">_xlfn.IFS(J961="m","Medium",J961="l","Light",J961="d","Dark")</f>
        <v>Light</v>
      </c>
      <c r="P961" t="str">
        <f>_xlfn.XLOOKUP(orders[[#This Row],[Customer ID]],customers!$A$2:$A$1001,customers!$I$2:$I$1001,,0)</f>
        <v>Yes</v>
      </c>
    </row>
    <row r="962" spans="1:16" x14ac:dyDescent="0.3">
      <c r="A962" s="2" t="s">
        <v>5915</v>
      </c>
      <c r="B962" s="6">
        <v>44591</v>
      </c>
      <c r="C962" s="2" t="s">
        <v>5916</v>
      </c>
      <c r="D962" t="s">
        <v>6170</v>
      </c>
      <c r="E962" s="2">
        <v>5</v>
      </c>
      <c r="F962" s="2" t="str">
        <f>_xlfn.XLOOKUP(C962,customers!$A$1:$A$1001,customers!$B$1:$B$1001,,0,1)</f>
        <v>Chad Miguel</v>
      </c>
      <c r="G962" s="2" t="str">
        <f>IF((_xlfn.XLOOKUP(C962,customers!$A$2:$A$1001,customers!$C$2:$C$1001,,,)=0),"",(_xlfn.XLOOKUP(C962,customers!$A$2:$A$1001,customers!$C$2:$C$1001,,0,)))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14"/>
        <v>79.25</v>
      </c>
      <c r="N962" t="str" cm="1">
        <f t="array" ref="N962">_xlfn.IFS(I962="rob","Robusta",I962="exc","Excesla",I962="ara","Arabica",I962="lib","Liberica")</f>
        <v>Liberica</v>
      </c>
      <c r="O962" t="str" cm="1">
        <f t="array" ref="O962">_xlfn.IFS(J962="m","Medium",J962="l","Light",J962="d","Dark")</f>
        <v>Light</v>
      </c>
      <c r="P962" t="str">
        <f>_xlfn.XLOOKUP(orders[[#This Row],[Customer ID]],customers!$A$2:$A$1001,customers!$I$2:$I$1001,,0)</f>
        <v>Yes</v>
      </c>
    </row>
    <row r="963" spans="1:16" x14ac:dyDescent="0.3">
      <c r="A963" s="2" t="s">
        <v>5921</v>
      </c>
      <c r="B963" s="6">
        <v>44158</v>
      </c>
      <c r="C963" s="2" t="s">
        <v>5922</v>
      </c>
      <c r="D963" t="s">
        <v>6168</v>
      </c>
      <c r="E963" s="2">
        <v>2</v>
      </c>
      <c r="F963" s="2" t="str">
        <f>_xlfn.XLOOKUP(C963,customers!$A$1:$A$1001,customers!$B$1:$B$1001,,0,1)</f>
        <v>Florinda Matusovsky</v>
      </c>
      <c r="G963" s="2" t="str">
        <f>IF((_xlfn.XLOOKUP(C963,customers!$A$2:$A$1001,customers!$C$2:$C$1001,,,)=0),"",(_xlfn.XLOOKUP(C963,customers!$A$2:$A$1001,customers!$C$2:$C$1001,,0,)))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15">L963*E963</f>
        <v>45.769999999999996</v>
      </c>
      <c r="N963" t="str" cm="1">
        <f t="array" ref="N963">_xlfn.IFS(I963="rob","Robusta",I963="exc","Excesla",I963="ara","Arabica",I963="lib","Liberica")</f>
        <v>Arabica</v>
      </c>
      <c r="O963" t="str" cm="1">
        <f t="array" ref="O963">_xlfn.IFS(J963="m","Medium",J963="l","Light",J963="d","Dark")</f>
        <v>Dark</v>
      </c>
      <c r="P963" t="str">
        <f>_xlfn.XLOOKUP(orders[[#This Row],[Customer ID]],customers!$A$2:$A$1001,customers!$I$2:$I$1001,,0)</f>
        <v>Yes</v>
      </c>
    </row>
    <row r="964" spans="1:16" x14ac:dyDescent="0.3">
      <c r="A964" s="2" t="s">
        <v>5926</v>
      </c>
      <c r="B964" s="6">
        <v>44664</v>
      </c>
      <c r="C964" s="2" t="s">
        <v>5927</v>
      </c>
      <c r="D964" t="s">
        <v>6177</v>
      </c>
      <c r="E964" s="2">
        <v>1</v>
      </c>
      <c r="F964" s="2" t="str">
        <f>_xlfn.XLOOKUP(C964,customers!$A$1:$A$1001,customers!$B$1:$B$1001,,0,1)</f>
        <v>Morly Rocks</v>
      </c>
      <c r="G964" s="2" t="str">
        <f>IF((_xlfn.XLOOKUP(C964,customers!$A$2:$A$1001,customers!$C$2:$C$1001,,,)=0),"",(_xlfn.XLOOKUP(C964,customers!$A$2:$A$1001,customers!$C$2:$C$1001,,0,)))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15"/>
        <v>8.9499999999999993</v>
      </c>
      <c r="N964" t="str" cm="1">
        <f t="array" ref="N964">_xlfn.IFS(I964="rob","Robusta",I964="exc","Excesla",I964="ara","Arabica",I964="lib","Liberica")</f>
        <v>Robusta</v>
      </c>
      <c r="O964" t="str" cm="1">
        <f t="array" ref="O964">_xlfn.IFS(J964="m","Medium",J964="l","Light",J964="d","Dark")</f>
        <v>Dark</v>
      </c>
      <c r="P964" t="str">
        <f>_xlfn.XLOOKUP(orders[[#This Row],[Customer ID]],customers!$A$2:$A$1001,customers!$I$2:$I$1001,,0)</f>
        <v>Yes</v>
      </c>
    </row>
    <row r="965" spans="1:16" x14ac:dyDescent="0.3">
      <c r="A965" s="2" t="s">
        <v>5932</v>
      </c>
      <c r="B965" s="6">
        <v>44203</v>
      </c>
      <c r="C965" s="2" t="s">
        <v>5933</v>
      </c>
      <c r="D965" t="s">
        <v>6146</v>
      </c>
      <c r="E965" s="2">
        <v>4</v>
      </c>
      <c r="F965" s="2" t="str">
        <f>_xlfn.XLOOKUP(C965,customers!$A$1:$A$1001,customers!$B$1:$B$1001,,0,1)</f>
        <v>Yuri Burrells</v>
      </c>
      <c r="G965" s="2" t="str">
        <f>IF((_xlfn.XLOOKUP(C965,customers!$A$2:$A$1001,customers!$C$2:$C$1001,,,)=0),"",(_xlfn.XLOOKUP(C965,customers!$A$2:$A$1001,customers!$C$2:$C$1001,,0,)))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15"/>
        <v>23.88</v>
      </c>
      <c r="N965" t="str" cm="1">
        <f t="array" ref="N965">_xlfn.IFS(I965="rob","Robusta",I965="exc","Excesla",I965="ara","Arabica",I965="lib","Liberica")</f>
        <v>Robusta</v>
      </c>
      <c r="O965" t="str" cm="1">
        <f t="array" ref="O965">_xlfn.IFS(J965="m","Medium",J965="l","Light",J965="d","Dark")</f>
        <v>Medium</v>
      </c>
      <c r="P965" t="str">
        <f>_xlfn.XLOOKUP(orders[[#This Row],[Customer ID]],customers!$A$2:$A$1001,customers!$I$2:$I$1001,,0)</f>
        <v>Yes</v>
      </c>
    </row>
    <row r="966" spans="1:16" x14ac:dyDescent="0.3">
      <c r="A966" s="2" t="s">
        <v>5938</v>
      </c>
      <c r="B966" s="6">
        <v>43865</v>
      </c>
      <c r="C966" s="2" t="s">
        <v>5939</v>
      </c>
      <c r="D966" t="s">
        <v>6184</v>
      </c>
      <c r="E966" s="2">
        <v>5</v>
      </c>
      <c r="F966" s="2" t="str">
        <f>_xlfn.XLOOKUP(C966,customers!$A$1:$A$1001,customers!$B$1:$B$1001,,0,1)</f>
        <v>Cleopatra Goodrum</v>
      </c>
      <c r="G966" s="2" t="str">
        <f>IF((_xlfn.XLOOKUP(C966,customers!$A$2:$A$1001,customers!$C$2:$C$1001,,,)=0),"",(_xlfn.XLOOKUP(C966,customers!$A$2:$A$1001,customers!$C$2:$C$1001,,0,)))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15"/>
        <v>22.274999999999999</v>
      </c>
      <c r="N966" t="str" cm="1">
        <f t="array" ref="N966">_xlfn.IFS(I966="rob","Robusta",I966="exc","Excesla",I966="ara","Arabica",I966="lib","Liberica")</f>
        <v>Excesla</v>
      </c>
      <c r="O966" t="str" cm="1">
        <f t="array" ref="O966">_xlfn.IFS(J966="m","Medium",J966="l","Light",J966="d","Dark")</f>
        <v>Light</v>
      </c>
      <c r="P966" t="str">
        <f>_xlfn.XLOOKUP(orders[[#This Row],[Customer ID]],customers!$A$2:$A$1001,customers!$I$2:$I$1001,,0)</f>
        <v>No</v>
      </c>
    </row>
    <row r="967" spans="1:16" x14ac:dyDescent="0.3">
      <c r="A967" s="2" t="s">
        <v>5944</v>
      </c>
      <c r="B967" s="6">
        <v>43724</v>
      </c>
      <c r="C967" s="2" t="s">
        <v>5945</v>
      </c>
      <c r="D967" t="s">
        <v>6138</v>
      </c>
      <c r="E967" s="2">
        <v>3</v>
      </c>
      <c r="F967" s="2" t="str">
        <f>_xlfn.XLOOKUP(C967,customers!$A$1:$A$1001,customers!$B$1:$B$1001,,0,1)</f>
        <v>Joey Jefferys</v>
      </c>
      <c r="G967" s="2" t="str">
        <f>IF((_xlfn.XLOOKUP(C967,customers!$A$2:$A$1001,customers!$C$2:$C$1001,,,)=0),"",(_xlfn.XLOOKUP(C967,customers!$A$2:$A$1001,customers!$C$2:$C$1001,,0,)))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15"/>
        <v>29.849999999999998</v>
      </c>
      <c r="N967" t="str" cm="1">
        <f t="array" ref="N967">_xlfn.IFS(I967="rob","Robusta",I967="exc","Excesla",I967="ara","Arabica",I967="lib","Liberica")</f>
        <v>Robusta</v>
      </c>
      <c r="O967" t="str" cm="1">
        <f t="array" ref="O967">_xlfn.IFS(J967="m","Medium",J967="l","Light",J967="d","Dark")</f>
        <v>Medium</v>
      </c>
      <c r="P967" t="str">
        <f>_xlfn.XLOOKUP(orders[[#This Row],[Customer ID]],customers!$A$2:$A$1001,customers!$I$2:$I$1001,,0)</f>
        <v>Yes</v>
      </c>
    </row>
    <row r="968" spans="1:16" x14ac:dyDescent="0.3">
      <c r="A968" s="2" t="s">
        <v>5949</v>
      </c>
      <c r="B968" s="6">
        <v>43491</v>
      </c>
      <c r="C968" s="2" t="s">
        <v>5950</v>
      </c>
      <c r="D968" t="s">
        <v>6176</v>
      </c>
      <c r="E968" s="2">
        <v>6</v>
      </c>
      <c r="F968" s="2" t="str">
        <f>_xlfn.XLOOKUP(C968,customers!$A$1:$A$1001,customers!$B$1:$B$1001,,0,1)</f>
        <v>Bearnard Wardell</v>
      </c>
      <c r="G968" s="2" t="str">
        <f>IF((_xlfn.XLOOKUP(C968,customers!$A$2:$A$1001,customers!$C$2:$C$1001,,,)=0),"",(_xlfn.XLOOKUP(C968,customers!$A$2:$A$1001,customers!$C$2:$C$1001,,0,)))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15"/>
        <v>53.46</v>
      </c>
      <c r="N968" t="str" cm="1">
        <f t="array" ref="N968">_xlfn.IFS(I968="rob","Robusta",I968="exc","Excesla",I968="ara","Arabica",I968="lib","Liberica")</f>
        <v>Excesla</v>
      </c>
      <c r="O968" t="str" cm="1">
        <f t="array" ref="O968">_xlfn.IFS(J968="m","Medium",J968="l","Light",J968="d","Dark")</f>
        <v>Light</v>
      </c>
      <c r="P968" t="str">
        <f>_xlfn.XLOOKUP(orders[[#This Row],[Customer ID]],customers!$A$2:$A$1001,customers!$I$2:$I$1001,,0)</f>
        <v>Yes</v>
      </c>
    </row>
    <row r="969" spans="1:16" x14ac:dyDescent="0.3">
      <c r="A969" s="2" t="s">
        <v>5955</v>
      </c>
      <c r="B969" s="6">
        <v>44246</v>
      </c>
      <c r="C969" s="2" t="s">
        <v>5956</v>
      </c>
      <c r="D969" t="s">
        <v>6163</v>
      </c>
      <c r="E969" s="2">
        <v>1</v>
      </c>
      <c r="F969" s="2" t="str">
        <f>_xlfn.XLOOKUP(C969,customers!$A$1:$A$1001,customers!$B$1:$B$1001,,0,1)</f>
        <v>Zeke Walisiak</v>
      </c>
      <c r="G969" s="2" t="str">
        <f>IF((_xlfn.XLOOKUP(C969,customers!$A$2:$A$1001,customers!$C$2:$C$1001,,,)=0),"",(_xlfn.XLOOKUP(C969,customers!$A$2:$A$1001,customers!$C$2:$C$1001,,0,)))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15"/>
        <v>2.6849999999999996</v>
      </c>
      <c r="N969" t="str" cm="1">
        <f t="array" ref="N969">_xlfn.IFS(I969="rob","Robusta",I969="exc","Excesla",I969="ara","Arabica",I969="lib","Liberica")</f>
        <v>Robusta</v>
      </c>
      <c r="O969" t="str" cm="1">
        <f t="array" ref="O969">_xlfn.IFS(J969="m","Medium",J969="l","Light",J969="d","Dark")</f>
        <v>Dark</v>
      </c>
      <c r="P969" t="str">
        <f>_xlfn.XLOOKUP(orders[[#This Row],[Customer ID]],customers!$A$2:$A$1001,customers!$I$2:$I$1001,,0)</f>
        <v>Yes</v>
      </c>
    </row>
    <row r="970" spans="1:16" x14ac:dyDescent="0.3">
      <c r="A970" s="2" t="s">
        <v>5961</v>
      </c>
      <c r="B970" s="6">
        <v>44642</v>
      </c>
      <c r="C970" s="2" t="s">
        <v>5962</v>
      </c>
      <c r="D970" t="s">
        <v>6174</v>
      </c>
      <c r="E970" s="2">
        <v>2</v>
      </c>
      <c r="F970" s="2" t="str">
        <f>_xlfn.XLOOKUP(C970,customers!$A$1:$A$1001,customers!$B$1:$B$1001,,0,1)</f>
        <v>Wiley Leopold</v>
      </c>
      <c r="G970" s="2" t="str">
        <f>IF((_xlfn.XLOOKUP(C970,customers!$A$2:$A$1001,customers!$C$2:$C$1001,,,)=0),"",(_xlfn.XLOOKUP(C970,customers!$A$2:$A$1001,customers!$C$2:$C$1001,,0,)))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15"/>
        <v>5.97</v>
      </c>
      <c r="N970" t="str" cm="1">
        <f t="array" ref="N970">_xlfn.IFS(I970="rob","Robusta",I970="exc","Excesla",I970="ara","Arabica",I970="lib","Liberica")</f>
        <v>Robusta</v>
      </c>
      <c r="O970" t="str" cm="1">
        <f t="array" ref="O970">_xlfn.IFS(J970="m","Medium",J970="l","Light",J970="d","Dark")</f>
        <v>Medium</v>
      </c>
      <c r="P970" t="str">
        <f>_xlfn.XLOOKUP(orders[[#This Row],[Customer ID]],customers!$A$2:$A$1001,customers!$I$2:$I$1001,,0)</f>
        <v>No</v>
      </c>
    </row>
    <row r="971" spans="1:16" x14ac:dyDescent="0.3">
      <c r="A971" s="2" t="s">
        <v>5967</v>
      </c>
      <c r="B971" s="6">
        <v>43649</v>
      </c>
      <c r="C971" s="2" t="s">
        <v>5968</v>
      </c>
      <c r="D971" t="s">
        <v>6143</v>
      </c>
      <c r="E971" s="2">
        <v>1</v>
      </c>
      <c r="F971" s="2" t="str">
        <f>_xlfn.XLOOKUP(C971,customers!$A$1:$A$1001,customers!$B$1:$B$1001,,0,1)</f>
        <v>Chiarra Shalders</v>
      </c>
      <c r="G971" s="2" t="str">
        <f>IF((_xlfn.XLOOKUP(C971,customers!$A$2:$A$1001,customers!$C$2:$C$1001,,,)=0),"",(_xlfn.XLOOKUP(C971,customers!$A$2:$A$1001,customers!$C$2:$C$1001,,0,)))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15"/>
        <v>12.95</v>
      </c>
      <c r="N971" t="str" cm="1">
        <f t="array" ref="N971">_xlfn.IFS(I971="rob","Robusta",I971="exc","Excesla",I971="ara","Arabica",I971="lib","Liberica")</f>
        <v>Liberica</v>
      </c>
      <c r="O971" t="str" cm="1">
        <f t="array" ref="O971">_xlfn.IFS(J971="m","Medium",J971="l","Light",J971="d","Dark")</f>
        <v>Dark</v>
      </c>
      <c r="P971" t="str">
        <f>_xlfn.XLOOKUP(orders[[#This Row],[Customer ID]],customers!$A$2:$A$1001,customers!$I$2:$I$1001,,0)</f>
        <v>Yes</v>
      </c>
    </row>
    <row r="972" spans="1:16" x14ac:dyDescent="0.3">
      <c r="A972" s="2" t="s">
        <v>5973</v>
      </c>
      <c r="B972" s="6">
        <v>43729</v>
      </c>
      <c r="C972" s="2" t="s">
        <v>5974</v>
      </c>
      <c r="D972" t="s">
        <v>6139</v>
      </c>
      <c r="E972" s="2">
        <v>1</v>
      </c>
      <c r="F972" s="2" t="str">
        <f>_xlfn.XLOOKUP(C972,customers!$A$1:$A$1001,customers!$B$1:$B$1001,,0,1)</f>
        <v>Sharl Southerill</v>
      </c>
      <c r="G972" s="2" t="str">
        <f>IF((_xlfn.XLOOKUP(C972,customers!$A$2:$A$1001,customers!$C$2:$C$1001,,,)=0),"",(_xlfn.XLOOKUP(C972,customers!$A$2:$A$1001,customers!$C$2:$C$1001,,0,)))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15"/>
        <v>8.25</v>
      </c>
      <c r="N972" t="str" cm="1">
        <f t="array" ref="N972">_xlfn.IFS(I972="rob","Robusta",I972="exc","Excesla",I972="ara","Arabica",I972="lib","Liberica")</f>
        <v>Excesla</v>
      </c>
      <c r="O972" t="str" cm="1">
        <f t="array" ref="O972">_xlfn.IFS(J972="m","Medium",J972="l","Light",J972="d","Dark")</f>
        <v>Medium</v>
      </c>
      <c r="P972" t="str">
        <f>_xlfn.XLOOKUP(orders[[#This Row],[Customer ID]],customers!$A$2:$A$1001,customers!$I$2:$I$1001,,0)</f>
        <v>No</v>
      </c>
    </row>
    <row r="973" spans="1:16" x14ac:dyDescent="0.3">
      <c r="A973" s="2" t="s">
        <v>5978</v>
      </c>
      <c r="B973" s="6">
        <v>43703</v>
      </c>
      <c r="C973" s="2" t="s">
        <v>5979</v>
      </c>
      <c r="D973" t="s">
        <v>6182</v>
      </c>
      <c r="E973" s="2">
        <v>5</v>
      </c>
      <c r="F973" s="2" t="str">
        <f>_xlfn.XLOOKUP(C973,customers!$A$1:$A$1001,customers!$B$1:$B$1001,,0,1)</f>
        <v>Noni Furber</v>
      </c>
      <c r="G973" s="2" t="str">
        <f>IF((_xlfn.XLOOKUP(C973,customers!$A$2:$A$1001,customers!$C$2:$C$1001,,,)=0),"",(_xlfn.XLOOKUP(C973,customers!$A$2:$A$1001,customers!$C$2:$C$1001,,0,)))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15"/>
        <v>148.92499999999998</v>
      </c>
      <c r="N973" t="str" cm="1">
        <f t="array" ref="N973">_xlfn.IFS(I973="rob","Robusta",I973="exc","Excesla",I973="ara","Arabica",I973="lib","Liberica")</f>
        <v>Arabica</v>
      </c>
      <c r="O973" t="str" cm="1">
        <f t="array" ref="O973">_xlfn.IFS(J973="m","Medium",J973="l","Light",J973="d","Dark")</f>
        <v>Light</v>
      </c>
      <c r="P973" t="str">
        <f>_xlfn.XLOOKUP(orders[[#This Row],[Customer ID]],customers!$A$2:$A$1001,customers!$I$2:$I$1001,,0)</f>
        <v>No</v>
      </c>
    </row>
    <row r="974" spans="1:16" x14ac:dyDescent="0.3">
      <c r="A974" s="2" t="s">
        <v>5984</v>
      </c>
      <c r="B974" s="6">
        <v>44411</v>
      </c>
      <c r="C974" s="2" t="s">
        <v>5985</v>
      </c>
      <c r="D974" t="s">
        <v>6182</v>
      </c>
      <c r="E974" s="2">
        <v>3</v>
      </c>
      <c r="F974" s="2" t="str">
        <f>_xlfn.XLOOKUP(C974,customers!$A$1:$A$1001,customers!$B$1:$B$1001,,0,1)</f>
        <v>Dinah Crutcher</v>
      </c>
      <c r="G974" s="2" t="str">
        <f>IF((_xlfn.XLOOKUP(C974,customers!$A$2:$A$1001,customers!$C$2:$C$1001,,,)=0),"",(_xlfn.XLOOKUP(C974,customers!$A$2:$A$1001,customers!$C$2:$C$1001,,0,)))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15"/>
        <v>89.35499999999999</v>
      </c>
      <c r="N974" t="str" cm="1">
        <f t="array" ref="N974">_xlfn.IFS(I974="rob","Robusta",I974="exc","Excesla",I974="ara","Arabica",I974="lib","Liberica")</f>
        <v>Arabica</v>
      </c>
      <c r="O974" t="str" cm="1">
        <f t="array" ref="O974">_xlfn.IFS(J974="m","Medium",J974="l","Light",J974="d","Dark")</f>
        <v>Light</v>
      </c>
      <c r="P974" t="str">
        <f>_xlfn.XLOOKUP(orders[[#This Row],[Customer ID]],customers!$A$2:$A$1001,customers!$I$2:$I$1001,,0)</f>
        <v>Yes</v>
      </c>
    </row>
    <row r="975" spans="1:16" x14ac:dyDescent="0.3">
      <c r="A975" s="2" t="s">
        <v>5989</v>
      </c>
      <c r="B975" s="6">
        <v>44493</v>
      </c>
      <c r="C975" s="2" t="s">
        <v>5990</v>
      </c>
      <c r="D975" t="s">
        <v>6162</v>
      </c>
      <c r="E975" s="2">
        <v>6</v>
      </c>
      <c r="F975" s="2" t="str">
        <f>_xlfn.XLOOKUP(C975,customers!$A$1:$A$1001,customers!$B$1:$B$1001,,0,1)</f>
        <v>Charlean Keave</v>
      </c>
      <c r="G975" s="2" t="str">
        <f>IF((_xlfn.XLOOKUP(C975,customers!$A$2:$A$1001,customers!$C$2:$C$1001,,,)=0),"",(_xlfn.XLOOKUP(C975,customers!$A$2:$A$1001,customers!$C$2:$C$1001,,0,)))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15"/>
        <v>87.300000000000011</v>
      </c>
      <c r="N975" t="str" cm="1">
        <f t="array" ref="N975">_xlfn.IFS(I975="rob","Robusta",I975="exc","Excesla",I975="ara","Arabica",I975="lib","Liberica")</f>
        <v>Liberica</v>
      </c>
      <c r="O975" t="str" cm="1">
        <f t="array" ref="O975">_xlfn.IFS(J975="m","Medium",J975="l","Light",J975="d","Dark")</f>
        <v>Medium</v>
      </c>
      <c r="P975" t="str">
        <f>_xlfn.XLOOKUP(orders[[#This Row],[Customer ID]],customers!$A$2:$A$1001,customers!$I$2:$I$1001,,0)</f>
        <v>No</v>
      </c>
    </row>
    <row r="976" spans="1:16" x14ac:dyDescent="0.3">
      <c r="A976" s="2" t="s">
        <v>5995</v>
      </c>
      <c r="B976" s="6">
        <v>43556</v>
      </c>
      <c r="C976" s="2" t="s">
        <v>5996</v>
      </c>
      <c r="D976" t="s">
        <v>6172</v>
      </c>
      <c r="E976" s="2">
        <v>1</v>
      </c>
      <c r="F976" s="2" t="str">
        <f>_xlfn.XLOOKUP(C976,customers!$A$1:$A$1001,customers!$B$1:$B$1001,,0,1)</f>
        <v>Sada Roseborough</v>
      </c>
      <c r="G976" s="2" t="str">
        <f>IF((_xlfn.XLOOKUP(C976,customers!$A$2:$A$1001,customers!$C$2:$C$1001,,,)=0),"",(_xlfn.XLOOKUP(C976,customers!$A$2:$A$1001,customers!$C$2:$C$1001,,0,)))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15"/>
        <v>5.3699999999999992</v>
      </c>
      <c r="N976" t="str" cm="1">
        <f t="array" ref="N976">_xlfn.IFS(I976="rob","Robusta",I976="exc","Excesla",I976="ara","Arabica",I976="lib","Liberica")</f>
        <v>Robusta</v>
      </c>
      <c r="O976" t="str" cm="1">
        <f t="array" ref="O976">_xlfn.IFS(J976="m","Medium",J976="l","Light",J976="d","Dark")</f>
        <v>Dark</v>
      </c>
      <c r="P976" t="str">
        <f>_xlfn.XLOOKUP(orders[[#This Row],[Customer ID]],customers!$A$2:$A$1001,customers!$I$2:$I$1001,,0)</f>
        <v>Yes</v>
      </c>
    </row>
    <row r="977" spans="1:16" x14ac:dyDescent="0.3">
      <c r="A977" s="2" t="s">
        <v>6001</v>
      </c>
      <c r="B977" s="6">
        <v>44538</v>
      </c>
      <c r="C977" s="2" t="s">
        <v>6002</v>
      </c>
      <c r="D977" t="s">
        <v>6154</v>
      </c>
      <c r="E977" s="2">
        <v>3</v>
      </c>
      <c r="F977" s="2" t="str">
        <f>_xlfn.XLOOKUP(C977,customers!$A$1:$A$1001,customers!$B$1:$B$1001,,0,1)</f>
        <v>Clayton Kingwell</v>
      </c>
      <c r="G977" s="2" t="str">
        <f>IF((_xlfn.XLOOKUP(C977,customers!$A$2:$A$1001,customers!$C$2:$C$1001,,,)=0),"",(_xlfn.XLOOKUP(C977,customers!$A$2:$A$1001,customers!$C$2:$C$1001,,0,)))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15"/>
        <v>8.9550000000000001</v>
      </c>
      <c r="N977" t="str" cm="1">
        <f t="array" ref="N977">_xlfn.IFS(I977="rob","Robusta",I977="exc","Excesla",I977="ara","Arabica",I977="lib","Liberica")</f>
        <v>Arabica</v>
      </c>
      <c r="O977" t="str" cm="1">
        <f t="array" ref="O977">_xlfn.IFS(J977="m","Medium",J977="l","Light",J977="d","Dark")</f>
        <v>Dark</v>
      </c>
      <c r="P977" t="str">
        <f>_xlfn.XLOOKUP(orders[[#This Row],[Customer ID]],customers!$A$2:$A$1001,customers!$I$2:$I$1001,,0)</f>
        <v>Yes</v>
      </c>
    </row>
    <row r="978" spans="1:16" x14ac:dyDescent="0.3">
      <c r="A978" s="2" t="s">
        <v>6007</v>
      </c>
      <c r="B978" s="6">
        <v>43643</v>
      </c>
      <c r="C978" s="2" t="s">
        <v>6008</v>
      </c>
      <c r="D978" t="s">
        <v>6142</v>
      </c>
      <c r="E978" s="2">
        <v>5</v>
      </c>
      <c r="F978" s="2" t="str">
        <f>_xlfn.XLOOKUP(C978,customers!$A$1:$A$1001,customers!$B$1:$B$1001,,0,1)</f>
        <v>Kacy Canto</v>
      </c>
      <c r="G978" s="2" t="str">
        <f>IF((_xlfn.XLOOKUP(C978,customers!$A$2:$A$1001,customers!$C$2:$C$1001,,,)=0),"",(_xlfn.XLOOKUP(C978,customers!$A$2:$A$1001,customers!$C$2:$C$1001,,0,)))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15"/>
        <v>137.42499999999998</v>
      </c>
      <c r="N978" t="str" cm="1">
        <f t="array" ref="N978">_xlfn.IFS(I978="rob","Robusta",I978="exc","Excesla",I978="ara","Arabica",I978="lib","Liberica")</f>
        <v>Robusta</v>
      </c>
      <c r="O978" t="str" cm="1">
        <f t="array" ref="O978">_xlfn.IFS(J978="m","Medium",J978="l","Light",J978="d","Dark")</f>
        <v>Light</v>
      </c>
      <c r="P978" t="str">
        <f>_xlfn.XLOOKUP(orders[[#This Row],[Customer ID]],customers!$A$2:$A$1001,customers!$I$2:$I$1001,,0)</f>
        <v>Yes</v>
      </c>
    </row>
    <row r="979" spans="1:16" x14ac:dyDescent="0.3">
      <c r="A979" s="2" t="s">
        <v>6013</v>
      </c>
      <c r="B979" s="6">
        <v>44026</v>
      </c>
      <c r="C979" s="2" t="s">
        <v>6014</v>
      </c>
      <c r="D979" t="s">
        <v>6179</v>
      </c>
      <c r="E979" s="2">
        <v>5</v>
      </c>
      <c r="F979" s="2" t="str">
        <f>_xlfn.XLOOKUP(C979,customers!$A$1:$A$1001,customers!$B$1:$B$1001,,0,1)</f>
        <v>Mab Blakemore</v>
      </c>
      <c r="G979" s="2" t="str">
        <f>IF((_xlfn.XLOOKUP(C979,customers!$A$2:$A$1001,customers!$C$2:$C$1001,,,)=0),"",(_xlfn.XLOOKUP(C979,customers!$A$2:$A$1001,customers!$C$2:$C$1001,,0,)))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15"/>
        <v>59.75</v>
      </c>
      <c r="N979" t="str" cm="1">
        <f t="array" ref="N979">_xlfn.IFS(I979="rob","Robusta",I979="exc","Excesla",I979="ara","Arabica",I979="lib","Liberica")</f>
        <v>Robusta</v>
      </c>
      <c r="O979" t="str" cm="1">
        <f t="array" ref="O979">_xlfn.IFS(J979="m","Medium",J979="l","Light",J979="d","Dark")</f>
        <v>Light</v>
      </c>
      <c r="P979" t="str">
        <f>_xlfn.XLOOKUP(orders[[#This Row],[Customer ID]],customers!$A$2:$A$1001,customers!$I$2:$I$1001,,0)</f>
        <v>No</v>
      </c>
    </row>
    <row r="980" spans="1:16" x14ac:dyDescent="0.3">
      <c r="A980" s="2" t="s">
        <v>6019</v>
      </c>
      <c r="B980" s="6">
        <v>43913</v>
      </c>
      <c r="C980" s="2" t="s">
        <v>5990</v>
      </c>
      <c r="D980" t="s">
        <v>6180</v>
      </c>
      <c r="E980" s="2">
        <v>3</v>
      </c>
      <c r="F980" s="2" t="str">
        <f>_xlfn.XLOOKUP(C980,customers!$A$1:$A$1001,customers!$B$1:$B$1001,,0,1)</f>
        <v>Charlean Keave</v>
      </c>
      <c r="G980" s="2" t="str">
        <f>IF((_xlfn.XLOOKUP(C980,customers!$A$2:$A$1001,customers!$C$2:$C$1001,,,)=0),"",(_xlfn.XLOOKUP(C980,customers!$A$2:$A$1001,customers!$C$2:$C$1001,,0,)))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15"/>
        <v>23.31</v>
      </c>
      <c r="N980" t="str" cm="1">
        <f t="array" ref="N980">_xlfn.IFS(I980="rob","Robusta",I980="exc","Excesla",I980="ara","Arabica",I980="lib","Liberica")</f>
        <v>Arabica</v>
      </c>
      <c r="O980" t="str" cm="1">
        <f t="array" ref="O980">_xlfn.IFS(J980="m","Medium",J980="l","Light",J980="d","Dark")</f>
        <v>Light</v>
      </c>
      <c r="P980" t="str">
        <f>_xlfn.XLOOKUP(orders[[#This Row],[Customer ID]],customers!$A$2:$A$1001,customers!$I$2:$I$1001,,0)</f>
        <v>No</v>
      </c>
    </row>
    <row r="981" spans="1:16" x14ac:dyDescent="0.3">
      <c r="A981" s="2" t="s">
        <v>6025</v>
      </c>
      <c r="B981" s="6">
        <v>43856</v>
      </c>
      <c r="C981" s="2" t="s">
        <v>6026</v>
      </c>
      <c r="D981" t="s">
        <v>6172</v>
      </c>
      <c r="E981" s="2">
        <v>2</v>
      </c>
      <c r="F981" s="2" t="str">
        <f>_xlfn.XLOOKUP(C981,customers!$A$1:$A$1001,customers!$B$1:$B$1001,,0,1)</f>
        <v>Javier Causnett</v>
      </c>
      <c r="G981" s="2" t="str">
        <f>IF((_xlfn.XLOOKUP(C981,customers!$A$2:$A$1001,customers!$C$2:$C$1001,,,)=0),"",(_xlfn.XLOOKUP(C981,customers!$A$2:$A$1001,customers!$C$2:$C$1001,,0,)))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15"/>
        <v>10.739999999999998</v>
      </c>
      <c r="N981" t="str" cm="1">
        <f t="array" ref="N981">_xlfn.IFS(I981="rob","Robusta",I981="exc","Excesla",I981="ara","Arabica",I981="lib","Liberica")</f>
        <v>Robusta</v>
      </c>
      <c r="O981" t="str" cm="1">
        <f t="array" ref="O981">_xlfn.IFS(J981="m","Medium",J981="l","Light",J981="d","Dark")</f>
        <v>Dark</v>
      </c>
      <c r="P981" t="str">
        <f>_xlfn.XLOOKUP(orders[[#This Row],[Customer ID]],customers!$A$2:$A$1001,customers!$I$2:$I$1001,,0)</f>
        <v>No</v>
      </c>
    </row>
    <row r="982" spans="1:16" x14ac:dyDescent="0.3">
      <c r="A982" s="2" t="s">
        <v>6030</v>
      </c>
      <c r="B982" s="6">
        <v>43982</v>
      </c>
      <c r="C982" s="2" t="s">
        <v>6031</v>
      </c>
      <c r="D982" t="s">
        <v>6185</v>
      </c>
      <c r="E982" s="2">
        <v>6</v>
      </c>
      <c r="F982" s="2" t="str">
        <f>_xlfn.XLOOKUP(C982,customers!$A$1:$A$1001,customers!$B$1:$B$1001,,0,1)</f>
        <v>Demetris Micheli</v>
      </c>
      <c r="G982" s="2" t="str">
        <f>IF((_xlfn.XLOOKUP(C982,customers!$A$2:$A$1001,customers!$C$2:$C$1001,,,)=0),"",(_xlfn.XLOOKUP(C982,customers!$A$2:$A$1001,customers!$C$2:$C$1001,,0,)))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15"/>
        <v>167.67000000000002</v>
      </c>
      <c r="N982" t="str" cm="1">
        <f t="array" ref="N982">_xlfn.IFS(I982="rob","Robusta",I982="exc","Excesla",I982="ara","Arabica",I982="lib","Liberica")</f>
        <v>Excesla</v>
      </c>
      <c r="O982" t="str" cm="1">
        <f t="array" ref="O982">_xlfn.IFS(J982="m","Medium",J982="l","Light",J982="d","Dark")</f>
        <v>Dark</v>
      </c>
      <c r="P982" t="str">
        <f>_xlfn.XLOOKUP(orders[[#This Row],[Customer ID]],customers!$A$2:$A$1001,customers!$I$2:$I$1001,,0)</f>
        <v>Yes</v>
      </c>
    </row>
    <row r="983" spans="1:16" x14ac:dyDescent="0.3">
      <c r="A983" s="2" t="s">
        <v>6035</v>
      </c>
      <c r="B983" s="6">
        <v>44397</v>
      </c>
      <c r="C983" s="2" t="s">
        <v>6036</v>
      </c>
      <c r="D983" t="s">
        <v>6153</v>
      </c>
      <c r="E983" s="2">
        <v>6</v>
      </c>
      <c r="F983" s="2" t="str">
        <f>_xlfn.XLOOKUP(C983,customers!$A$1:$A$1001,customers!$B$1:$B$1001,,0,1)</f>
        <v>Chloette Bernardot</v>
      </c>
      <c r="G983" s="2" t="str">
        <f>IF((_xlfn.XLOOKUP(C983,customers!$A$2:$A$1001,customers!$C$2:$C$1001,,,)=0),"",(_xlfn.XLOOKUP(C983,customers!$A$2:$A$1001,customers!$C$2:$C$1001,,0,)))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15"/>
        <v>21.87</v>
      </c>
      <c r="N983" t="str" cm="1">
        <f t="array" ref="N983">_xlfn.IFS(I983="rob","Robusta",I983="exc","Excesla",I983="ara","Arabica",I983="lib","Liberica")</f>
        <v>Excesla</v>
      </c>
      <c r="O983" t="str" cm="1">
        <f t="array" ref="O983">_xlfn.IFS(J983="m","Medium",J983="l","Light",J983="d","Dark")</f>
        <v>Dark</v>
      </c>
      <c r="P983" t="str">
        <f>_xlfn.XLOOKUP(orders[[#This Row],[Customer ID]],customers!$A$2:$A$1001,customers!$I$2:$I$1001,,0)</f>
        <v>Yes</v>
      </c>
    </row>
    <row r="984" spans="1:16" x14ac:dyDescent="0.3">
      <c r="A984" s="2" t="s">
        <v>6041</v>
      </c>
      <c r="B984" s="6">
        <v>44785</v>
      </c>
      <c r="C984" s="2" t="s">
        <v>6042</v>
      </c>
      <c r="D984" t="s">
        <v>6179</v>
      </c>
      <c r="E984" s="2">
        <v>2</v>
      </c>
      <c r="F984" s="2" t="str">
        <f>_xlfn.XLOOKUP(C984,customers!$A$1:$A$1001,customers!$B$1:$B$1001,,0,1)</f>
        <v>Kim Kemery</v>
      </c>
      <c r="G984" s="2" t="str">
        <f>IF((_xlfn.XLOOKUP(C984,customers!$A$2:$A$1001,customers!$C$2:$C$1001,,,)=0),"",(_xlfn.XLOOKUP(C984,customers!$A$2:$A$1001,customers!$C$2:$C$1001,,0,)))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15"/>
        <v>23.9</v>
      </c>
      <c r="N984" t="str" cm="1">
        <f t="array" ref="N984">_xlfn.IFS(I984="rob","Robusta",I984="exc","Excesla",I984="ara","Arabica",I984="lib","Liberica")</f>
        <v>Robusta</v>
      </c>
      <c r="O984" t="str" cm="1">
        <f t="array" ref="O984">_xlfn.IFS(J984="m","Medium",J984="l","Light",J984="d","Dark")</f>
        <v>Light</v>
      </c>
      <c r="P984" t="str">
        <f>_xlfn.XLOOKUP(orders[[#This Row],[Customer ID]],customers!$A$2:$A$1001,customers!$I$2:$I$1001,,0)</f>
        <v>Yes</v>
      </c>
    </row>
    <row r="985" spans="1:16" x14ac:dyDescent="0.3">
      <c r="A985" s="2" t="s">
        <v>6047</v>
      </c>
      <c r="B985" s="6">
        <v>43831</v>
      </c>
      <c r="C985" s="2" t="s">
        <v>6048</v>
      </c>
      <c r="D985" t="s">
        <v>6152</v>
      </c>
      <c r="E985" s="2">
        <v>2</v>
      </c>
      <c r="F985" s="2" t="str">
        <f>_xlfn.XLOOKUP(C985,customers!$A$1:$A$1001,customers!$B$1:$B$1001,,0,1)</f>
        <v>Fanchette Parlot</v>
      </c>
      <c r="G985" s="2" t="str">
        <f>IF((_xlfn.XLOOKUP(C985,customers!$A$2:$A$1001,customers!$C$2:$C$1001,,,)=0),"",(_xlfn.XLOOKUP(C985,customers!$A$2:$A$1001,customers!$C$2:$C$1001,,0,)))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15"/>
        <v>6.75</v>
      </c>
      <c r="N985" t="str" cm="1">
        <f t="array" ref="N985">_xlfn.IFS(I985="rob","Robusta",I985="exc","Excesla",I985="ara","Arabica",I985="lib","Liberica")</f>
        <v>Arabica</v>
      </c>
      <c r="O985" t="str" cm="1">
        <f t="array" ref="O985">_xlfn.IFS(J985="m","Medium",J985="l","Light",J985="d","Dark")</f>
        <v>Medium</v>
      </c>
      <c r="P985" t="str">
        <f>_xlfn.XLOOKUP(orders[[#This Row],[Customer ID]],customers!$A$2:$A$1001,customers!$I$2:$I$1001,,0)</f>
        <v>Yes</v>
      </c>
    </row>
    <row r="986" spans="1:16" x14ac:dyDescent="0.3">
      <c r="A986" s="2" t="s">
        <v>6053</v>
      </c>
      <c r="B986" s="6">
        <v>44214</v>
      </c>
      <c r="C986" s="2" t="s">
        <v>6054</v>
      </c>
      <c r="D986" t="s">
        <v>6166</v>
      </c>
      <c r="E986" s="2">
        <v>1</v>
      </c>
      <c r="F986" s="2" t="str">
        <f>_xlfn.XLOOKUP(C986,customers!$A$1:$A$1001,customers!$B$1:$B$1001,,0,1)</f>
        <v>Ramon Cheak</v>
      </c>
      <c r="G986" s="2" t="str">
        <f>IF((_xlfn.XLOOKUP(C986,customers!$A$2:$A$1001,customers!$C$2:$C$1001,,,)=0),"",(_xlfn.XLOOKUP(C986,customers!$A$2:$A$1001,customers!$C$2:$C$1001,,0,)))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15"/>
        <v>31.624999999999996</v>
      </c>
      <c r="N986" t="str" cm="1">
        <f t="array" ref="N986">_xlfn.IFS(I986="rob","Robusta",I986="exc","Excesla",I986="ara","Arabica",I986="lib","Liberica")</f>
        <v>Excesla</v>
      </c>
      <c r="O986" t="str" cm="1">
        <f t="array" ref="O986">_xlfn.IFS(J986="m","Medium",J986="l","Light",J986="d","Dark")</f>
        <v>Medium</v>
      </c>
      <c r="P986" t="str">
        <f>_xlfn.XLOOKUP(orders[[#This Row],[Customer ID]],customers!$A$2:$A$1001,customers!$I$2:$I$1001,,0)</f>
        <v>Yes</v>
      </c>
    </row>
    <row r="987" spans="1:16" x14ac:dyDescent="0.3">
      <c r="A987" s="2" t="s">
        <v>6058</v>
      </c>
      <c r="B987" s="6">
        <v>44561</v>
      </c>
      <c r="C987" s="2" t="s">
        <v>6059</v>
      </c>
      <c r="D987" t="s">
        <v>6179</v>
      </c>
      <c r="E987" s="2">
        <v>4</v>
      </c>
      <c r="F987" s="2" t="str">
        <f>_xlfn.XLOOKUP(C987,customers!$A$1:$A$1001,customers!$B$1:$B$1001,,0,1)</f>
        <v>Koressa O'Geneay</v>
      </c>
      <c r="G987" s="2" t="str">
        <f>IF((_xlfn.XLOOKUP(C987,customers!$A$2:$A$1001,customers!$C$2:$C$1001,,,)=0),"",(_xlfn.XLOOKUP(C987,customers!$A$2:$A$1001,customers!$C$2:$C$1001,,0,)))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15"/>
        <v>47.8</v>
      </c>
      <c r="N987" t="str" cm="1">
        <f t="array" ref="N987">_xlfn.IFS(I987="rob","Robusta",I987="exc","Excesla",I987="ara","Arabica",I987="lib","Liberica")</f>
        <v>Robusta</v>
      </c>
      <c r="O987" t="str" cm="1">
        <f t="array" ref="O987">_xlfn.IFS(J987="m","Medium",J987="l","Light",J987="d","Dark")</f>
        <v>Light</v>
      </c>
      <c r="P987" t="str">
        <f>_xlfn.XLOOKUP(orders[[#This Row],[Customer ID]],customers!$A$2:$A$1001,customers!$I$2:$I$1001,,0)</f>
        <v>No</v>
      </c>
    </row>
    <row r="988" spans="1:16" x14ac:dyDescent="0.3">
      <c r="A988" s="2" t="s">
        <v>6064</v>
      </c>
      <c r="B988" s="6">
        <v>43955</v>
      </c>
      <c r="C988" s="2" t="s">
        <v>6065</v>
      </c>
      <c r="D988" t="s">
        <v>6181</v>
      </c>
      <c r="E988" s="2">
        <v>1</v>
      </c>
      <c r="F988" s="2" t="str">
        <f>_xlfn.XLOOKUP(C988,customers!$A$1:$A$1001,customers!$B$1:$B$1001,,0,1)</f>
        <v>Claudell Ayre</v>
      </c>
      <c r="G988" s="2" t="str">
        <f>IF((_xlfn.XLOOKUP(C988,customers!$A$2:$A$1001,customers!$C$2:$C$1001,,,)=0),"",(_xlfn.XLOOKUP(C988,customers!$A$2:$A$1001,customers!$C$2:$C$1001,,0,)))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15"/>
        <v>33.464999999999996</v>
      </c>
      <c r="N988" t="str" cm="1">
        <f t="array" ref="N988">_xlfn.IFS(I988="rob","Robusta",I988="exc","Excesla",I988="ara","Arabica",I988="lib","Liberica")</f>
        <v>Liberica</v>
      </c>
      <c r="O988" t="str" cm="1">
        <f t="array" ref="O988">_xlfn.IFS(J988="m","Medium",J988="l","Light",J988="d","Dark")</f>
        <v>Medium</v>
      </c>
      <c r="P988" t="str">
        <f>_xlfn.XLOOKUP(orders[[#This Row],[Customer ID]],customers!$A$2:$A$1001,customers!$I$2:$I$1001,,0)</f>
        <v>No</v>
      </c>
    </row>
    <row r="989" spans="1:16" x14ac:dyDescent="0.3">
      <c r="A989" s="2" t="s">
        <v>6070</v>
      </c>
      <c r="B989" s="6">
        <v>44247</v>
      </c>
      <c r="C989" s="2" t="s">
        <v>6071</v>
      </c>
      <c r="D989" t="s">
        <v>6158</v>
      </c>
      <c r="E989" s="2">
        <v>5</v>
      </c>
      <c r="F989" s="2" t="str">
        <f>_xlfn.XLOOKUP(C989,customers!$A$1:$A$1001,customers!$B$1:$B$1001,,0,1)</f>
        <v>Lorianne Kyneton</v>
      </c>
      <c r="G989" s="2" t="str">
        <f>IF((_xlfn.XLOOKUP(C989,customers!$A$2:$A$1001,customers!$C$2:$C$1001,,,)=0),"",(_xlfn.XLOOKUP(C989,customers!$A$2:$A$1001,customers!$C$2:$C$1001,,0,)))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15"/>
        <v>29.849999999999998</v>
      </c>
      <c r="N989" t="str" cm="1">
        <f t="array" ref="N989">_xlfn.IFS(I989="rob","Robusta",I989="exc","Excesla",I989="ara","Arabica",I989="lib","Liberica")</f>
        <v>Arabica</v>
      </c>
      <c r="O989" t="str" cm="1">
        <f t="array" ref="O989">_xlfn.IFS(J989="m","Medium",J989="l","Light",J989="d","Dark")</f>
        <v>Dark</v>
      </c>
      <c r="P989" t="str">
        <f>_xlfn.XLOOKUP(orders[[#This Row],[Customer ID]],customers!$A$2:$A$1001,customers!$I$2:$I$1001,,0)</f>
        <v>Yes</v>
      </c>
    </row>
    <row r="990" spans="1:16" x14ac:dyDescent="0.3">
      <c r="A990" s="2" t="s">
        <v>6076</v>
      </c>
      <c r="B990" s="6">
        <v>43897</v>
      </c>
      <c r="C990" s="2" t="s">
        <v>6077</v>
      </c>
      <c r="D990" t="s">
        <v>6138</v>
      </c>
      <c r="E990" s="2">
        <v>3</v>
      </c>
      <c r="F990" s="2" t="str">
        <f>_xlfn.XLOOKUP(C990,customers!$A$1:$A$1001,customers!$B$1:$B$1001,,0,1)</f>
        <v>Adele McFayden</v>
      </c>
      <c r="G990" s="2" t="str">
        <f>IF((_xlfn.XLOOKUP(C990,customers!$A$2:$A$1001,customers!$C$2:$C$1001,,,)=0),"",(_xlfn.XLOOKUP(C990,customers!$A$2:$A$1001,customers!$C$2:$C$1001,,0,)))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15"/>
        <v>29.849999999999998</v>
      </c>
      <c r="N990" t="str" cm="1">
        <f t="array" ref="N990">_xlfn.IFS(I990="rob","Robusta",I990="exc","Excesla",I990="ara","Arabica",I990="lib","Liberica")</f>
        <v>Robusta</v>
      </c>
      <c r="O990" t="str" cm="1">
        <f t="array" ref="O990">_xlfn.IFS(J990="m","Medium",J990="l","Light",J990="d","Dark")</f>
        <v>Medium</v>
      </c>
      <c r="P990" t="str">
        <f>_xlfn.XLOOKUP(orders[[#This Row],[Customer ID]],customers!$A$2:$A$1001,customers!$I$2:$I$1001,,0)</f>
        <v>Yes</v>
      </c>
    </row>
    <row r="991" spans="1:16" x14ac:dyDescent="0.3">
      <c r="A991" s="2" t="s">
        <v>6081</v>
      </c>
      <c r="B991" s="6">
        <v>43560</v>
      </c>
      <c r="C991" s="2" t="s">
        <v>6082</v>
      </c>
      <c r="D991" t="s">
        <v>6175</v>
      </c>
      <c r="E991" s="2">
        <v>6</v>
      </c>
      <c r="F991" s="2" t="str">
        <f>_xlfn.XLOOKUP(C991,customers!$A$1:$A$1001,customers!$B$1:$B$1001,,0,1)</f>
        <v>Herta Layne</v>
      </c>
      <c r="G991" s="2" t="str">
        <f>IF((_xlfn.XLOOKUP(C991,customers!$A$2:$A$1001,customers!$C$2:$C$1001,,,)=0),"",(_xlfn.XLOOKUP(C991,customers!$A$2:$A$1001,customers!$C$2:$C$1001,,0,)))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15"/>
        <v>155.24999999999997</v>
      </c>
      <c r="N991" t="str" cm="1">
        <f t="array" ref="N991">_xlfn.IFS(I991="rob","Robusta",I991="exc","Excesla",I991="ara","Arabica",I991="lib","Liberica")</f>
        <v>Arabica</v>
      </c>
      <c r="O991" t="str" cm="1">
        <f t="array" ref="O991">_xlfn.IFS(J991="m","Medium",J991="l","Light",J991="d","Dark")</f>
        <v>Medium</v>
      </c>
      <c r="P991" t="str">
        <f>_xlfn.XLOOKUP(orders[[#This Row],[Customer ID]],customers!$A$2:$A$1001,customers!$I$2:$I$1001,,0)</f>
        <v>Yes</v>
      </c>
    </row>
    <row r="992" spans="1:16" x14ac:dyDescent="0.3">
      <c r="A992" s="2" t="s">
        <v>6086</v>
      </c>
      <c r="B992" s="6">
        <v>44718</v>
      </c>
      <c r="C992" s="2" t="s">
        <v>6118</v>
      </c>
      <c r="D992" t="s">
        <v>6153</v>
      </c>
      <c r="E992" s="2">
        <v>5</v>
      </c>
      <c r="F992" s="2" t="str">
        <f>_xlfn.XLOOKUP(C992,customers!$A$1:$A$1001,customers!$B$1:$B$1001,,0,1)</f>
        <v>Marguerite Graves</v>
      </c>
      <c r="G992" s="2" t="str">
        <f>IF((_xlfn.XLOOKUP(C992,customers!$A$2:$A$1001,customers!$C$2:$C$1001,,,)=0),"",(_xlfn.XLOOKUP(C992,customers!$A$2:$A$1001,customers!$C$2:$C$1001,,0,)))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15"/>
        <v>18.225000000000001</v>
      </c>
      <c r="N992" t="str" cm="1">
        <f t="array" ref="N992">_xlfn.IFS(I992="rob","Robusta",I992="exc","Excesla",I992="ara","Arabica",I992="lib","Liberica")</f>
        <v>Excesla</v>
      </c>
      <c r="O992" t="str" cm="1">
        <f t="array" ref="O992">_xlfn.IFS(J992="m","Medium",J992="l","Light",J992="d","Dark")</f>
        <v>Dark</v>
      </c>
      <c r="P992" t="str">
        <f>_xlfn.XLOOKUP(orders[[#This Row],[Customer ID]],customers!$A$2:$A$1001,customers!$I$2:$I$1001,,0)</f>
        <v>No</v>
      </c>
    </row>
    <row r="993" spans="1:16" x14ac:dyDescent="0.3">
      <c r="A993" s="2" t="s">
        <v>6086</v>
      </c>
      <c r="B993" s="6">
        <v>44718</v>
      </c>
      <c r="C993" s="2" t="s">
        <v>6118</v>
      </c>
      <c r="D993" t="s">
        <v>6169</v>
      </c>
      <c r="E993" s="2">
        <v>2</v>
      </c>
      <c r="F993" s="2" t="str">
        <f>_xlfn.XLOOKUP(C993,customers!$A$1:$A$1001,customers!$B$1:$B$1001,,0,1)</f>
        <v>Marguerite Graves</v>
      </c>
      <c r="G993" s="2" t="str">
        <f>IF((_xlfn.XLOOKUP(C993,customers!$A$2:$A$1001,customers!$C$2:$C$1001,,,)=0),"",(_xlfn.XLOOKUP(C993,customers!$A$2:$A$1001,customers!$C$2:$C$1001,,0,)))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15"/>
        <v>15.54</v>
      </c>
      <c r="N993" t="str" cm="1">
        <f t="array" ref="N993">_xlfn.IFS(I993="rob","Robusta",I993="exc","Excesla",I993="ara","Arabica",I993="lib","Liberica")</f>
        <v>Liberica</v>
      </c>
      <c r="O993" t="str" cm="1">
        <f t="array" ref="O993">_xlfn.IFS(J993="m","Medium",J993="l","Light",J993="d","Dark")</f>
        <v>Dark</v>
      </c>
      <c r="P993" t="str">
        <f>_xlfn.XLOOKUP(orders[[#This Row],[Customer ID]],customers!$A$2:$A$1001,customers!$I$2:$I$1001,,0)</f>
        <v>No</v>
      </c>
    </row>
    <row r="994" spans="1:16" x14ac:dyDescent="0.3">
      <c r="A994" s="2" t="s">
        <v>6096</v>
      </c>
      <c r="B994" s="6">
        <v>44276</v>
      </c>
      <c r="C994" s="2" t="s">
        <v>6097</v>
      </c>
      <c r="D994" t="s">
        <v>6164</v>
      </c>
      <c r="E994" s="2">
        <v>3</v>
      </c>
      <c r="F994" s="2" t="str">
        <f>_xlfn.XLOOKUP(C994,customers!$A$1:$A$1001,customers!$B$1:$B$1001,,0,1)</f>
        <v>Desdemona Eye</v>
      </c>
      <c r="G994" s="2" t="str">
        <f>IF((_xlfn.XLOOKUP(C994,customers!$A$2:$A$1001,customers!$C$2:$C$1001,,,)=0),"",(_xlfn.XLOOKUP(C994,customers!$A$2:$A$1001,customers!$C$2:$C$1001,,0,)))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15"/>
        <v>109.36499999999999</v>
      </c>
      <c r="N994" t="str" cm="1">
        <f t="array" ref="N994">_xlfn.IFS(I994="rob","Robusta",I994="exc","Excesla",I994="ara","Arabica",I994="lib","Liberica")</f>
        <v>Liberica</v>
      </c>
      <c r="O994" t="str" cm="1">
        <f t="array" ref="O994">_xlfn.IFS(J994="m","Medium",J994="l","Light",J994="d","Dark")</f>
        <v>Light</v>
      </c>
      <c r="P994" t="str">
        <f>_xlfn.XLOOKUP(orders[[#This Row],[Customer ID]],customers!$A$2:$A$1001,customers!$I$2:$I$1001,,0)</f>
        <v>No</v>
      </c>
    </row>
    <row r="995" spans="1:16" x14ac:dyDescent="0.3">
      <c r="A995" s="2" t="s">
        <v>6101</v>
      </c>
      <c r="B995" s="6">
        <v>44549</v>
      </c>
      <c r="C995" s="2" t="s">
        <v>6102</v>
      </c>
      <c r="D995" t="s">
        <v>6140</v>
      </c>
      <c r="E995" s="2">
        <v>6</v>
      </c>
      <c r="F995" s="2" t="str">
        <f>_xlfn.XLOOKUP(C995,customers!$A$1:$A$1001,customers!$B$1:$B$1001,,0,1)</f>
        <v>Margarette Sterland</v>
      </c>
      <c r="G995" s="2" t="str">
        <f>IF((_xlfn.XLOOKUP(C995,customers!$A$2:$A$1001,customers!$C$2:$C$1001,,,)=0),"",(_xlfn.XLOOKUP(C995,customers!$A$2:$A$1001,customers!$C$2:$C$1001,,0,)))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15"/>
        <v>77.699999999999989</v>
      </c>
      <c r="N995" t="str" cm="1">
        <f t="array" ref="N995">_xlfn.IFS(I995="rob","Robusta",I995="exc","Excesla",I995="ara","Arabica",I995="lib","Liberica")</f>
        <v>Arabica</v>
      </c>
      <c r="O995" t="str" cm="1">
        <f t="array" ref="O995">_xlfn.IFS(J995="m","Medium",J995="l","Light",J995="d","Dark")</f>
        <v>Light</v>
      </c>
      <c r="P995" t="str">
        <f>_xlfn.XLOOKUP(orders[[#This Row],[Customer ID]],customers!$A$2:$A$1001,customers!$I$2:$I$1001,,0)</f>
        <v>No</v>
      </c>
    </row>
    <row r="996" spans="1:16" x14ac:dyDescent="0.3">
      <c r="A996" s="2" t="s">
        <v>6106</v>
      </c>
      <c r="B996" s="6">
        <v>44244</v>
      </c>
      <c r="C996" s="2" t="s">
        <v>6107</v>
      </c>
      <c r="D996" t="s">
        <v>6154</v>
      </c>
      <c r="E996" s="2">
        <v>3</v>
      </c>
      <c r="F996" s="2" t="str">
        <f>_xlfn.XLOOKUP(C996,customers!$A$1:$A$1001,customers!$B$1:$B$1001,,0,1)</f>
        <v>Catharine Scoines</v>
      </c>
      <c r="G996" s="2" t="str">
        <f>IF((_xlfn.XLOOKUP(C996,customers!$A$2:$A$1001,customers!$C$2:$C$1001,,,)=0),"",(_xlfn.XLOOKUP(C996,customers!$A$2:$A$1001,customers!$C$2:$C$1001,,0,)))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15"/>
        <v>8.9550000000000001</v>
      </c>
      <c r="N996" t="str" cm="1">
        <f t="array" ref="N996">_xlfn.IFS(I996="rob","Robusta",I996="exc","Excesla",I996="ara","Arabica",I996="lib","Liberica")</f>
        <v>Arabica</v>
      </c>
      <c r="O996" t="str" cm="1">
        <f t="array" ref="O996">_xlfn.IFS(J996="m","Medium",J996="l","Light",J996="d","Dark")</f>
        <v>Dark</v>
      </c>
      <c r="P996" t="str">
        <f>_xlfn.XLOOKUP(orders[[#This Row],[Customer ID]],customers!$A$2:$A$1001,customers!$I$2:$I$1001,,0)</f>
        <v>No</v>
      </c>
    </row>
    <row r="997" spans="1:16" x14ac:dyDescent="0.3">
      <c r="A997" s="2" t="s">
        <v>6111</v>
      </c>
      <c r="B997" s="6">
        <v>43836</v>
      </c>
      <c r="C997" s="2" t="s">
        <v>6112</v>
      </c>
      <c r="D997" t="s">
        <v>6142</v>
      </c>
      <c r="E997" s="2">
        <v>1</v>
      </c>
      <c r="F997" s="2" t="str">
        <f>_xlfn.XLOOKUP(C997,customers!$A$1:$A$1001,customers!$B$1:$B$1001,,0,1)</f>
        <v>Jennica Tewelson</v>
      </c>
      <c r="G997" s="2" t="str">
        <f>IF((_xlfn.XLOOKUP(C997,customers!$A$2:$A$1001,customers!$C$2:$C$1001,,,)=0),"",(_xlfn.XLOOKUP(C997,customers!$A$2:$A$1001,customers!$C$2:$C$1001,,0,)))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15"/>
        <v>27.484999999999996</v>
      </c>
      <c r="N997" t="str" cm="1">
        <f t="array" ref="N997">_xlfn.IFS(I997="rob","Robusta",I997="exc","Excesla",I997="ara","Arabica",I997="lib","Liberica")</f>
        <v>Robusta</v>
      </c>
      <c r="O997" t="str" cm="1">
        <f t="array" ref="O997">_xlfn.IFS(J997="m","Medium",J997="l","Light",J997="d","Dark")</f>
        <v>Light</v>
      </c>
      <c r="P997" t="str">
        <f>_xlfn.XLOOKUP(orders[[#This Row],[Customer ID]],customers!$A$2:$A$1001,customers!$I$2:$I$1001,,0)</f>
        <v>No</v>
      </c>
    </row>
    <row r="998" spans="1:16" x14ac:dyDescent="0.3">
      <c r="A998" s="2" t="s">
        <v>6117</v>
      </c>
      <c r="B998" s="6">
        <v>44685</v>
      </c>
      <c r="C998" s="2" t="s">
        <v>6118</v>
      </c>
      <c r="D998" t="s">
        <v>6146</v>
      </c>
      <c r="E998" s="2">
        <v>5</v>
      </c>
      <c r="F998" s="2" t="str">
        <f>_xlfn.XLOOKUP(C998,customers!$A$1:$A$1001,customers!$B$1:$B$1001,,0,1)</f>
        <v>Marguerite Graves</v>
      </c>
      <c r="G998" s="2" t="str">
        <f>IF((_xlfn.XLOOKUP(C998,customers!$A$2:$A$1001,customers!$C$2:$C$1001,,,)=0),"",(_xlfn.XLOOKUP(C998,customers!$A$2:$A$1001,customers!$C$2:$C$1001,,0,)))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15"/>
        <v>29.849999999999998</v>
      </c>
      <c r="N998" t="str" cm="1">
        <f t="array" ref="N998">_xlfn.IFS(I998="rob","Robusta",I998="exc","Excesla",I998="ara","Arabica",I998="lib","Liberica")</f>
        <v>Robusta</v>
      </c>
      <c r="O998" t="str" cm="1">
        <f t="array" ref="O998">_xlfn.IFS(J998="m","Medium",J998="l","Light",J998="d","Dark")</f>
        <v>Medium</v>
      </c>
      <c r="P998" t="str">
        <f>_xlfn.XLOOKUP(orders[[#This Row],[Customer ID]],customers!$A$2:$A$1001,customers!$I$2:$I$1001,,0)</f>
        <v>No</v>
      </c>
    </row>
    <row r="999" spans="1:16" x14ac:dyDescent="0.3">
      <c r="A999" s="2" t="s">
        <v>6122</v>
      </c>
      <c r="B999" s="6">
        <v>43749</v>
      </c>
      <c r="C999" s="2" t="s">
        <v>6118</v>
      </c>
      <c r="D999" t="s">
        <v>6157</v>
      </c>
      <c r="E999" s="2">
        <v>4</v>
      </c>
      <c r="F999" s="2" t="str">
        <f>_xlfn.XLOOKUP(C999,customers!$A$1:$A$1001,customers!$B$1:$B$1001,,0,1)</f>
        <v>Marguerite Graves</v>
      </c>
      <c r="G999" s="2" t="str">
        <f>IF((_xlfn.XLOOKUP(C999,customers!$A$2:$A$1001,customers!$C$2:$C$1001,,,)=0),"",(_xlfn.XLOOKUP(C999,customers!$A$2:$A$1001,customers!$C$2:$C$1001,,0,)))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15"/>
        <v>27</v>
      </c>
      <c r="N999" t="str" cm="1">
        <f t="array" ref="N999">_xlfn.IFS(I999="rob","Robusta",I999="exc","Excesla",I999="ara","Arabica",I999="lib","Liberica")</f>
        <v>Arabica</v>
      </c>
      <c r="O999" t="str" cm="1">
        <f t="array" ref="O999">_xlfn.IFS(J999="m","Medium",J999="l","Light",J999="d","Dark")</f>
        <v>Medium</v>
      </c>
      <c r="P999" t="str">
        <f>_xlfn.XLOOKUP(orders[[#This Row],[Customer ID]],customers!$A$2:$A$1001,customers!$I$2:$I$1001,,0)</f>
        <v>No</v>
      </c>
    </row>
    <row r="1000" spans="1:16" x14ac:dyDescent="0.3">
      <c r="A1000" s="2" t="s">
        <v>6127</v>
      </c>
      <c r="B1000" s="6">
        <v>44411</v>
      </c>
      <c r="C1000" s="2" t="s">
        <v>6128</v>
      </c>
      <c r="D1000" t="s">
        <v>6147</v>
      </c>
      <c r="E1000" s="2">
        <v>1</v>
      </c>
      <c r="F1000" s="2" t="str">
        <f>_xlfn.XLOOKUP(C1000,customers!$A$1:$A$1001,customers!$B$1:$B$1001,,0,1)</f>
        <v>Nicolina Jenny</v>
      </c>
      <c r="G1000" s="2" t="str">
        <f>IF((_xlfn.XLOOKUP(C1000,customers!$A$2:$A$1001,customers!$C$2:$C$1001,,,)=0),"",(_xlfn.XLOOKUP(C1000,customers!$A$2:$A$1001,customers!$C$2:$C$1001,,0,)))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15"/>
        <v>9.9499999999999993</v>
      </c>
      <c r="N1000" t="str" cm="1">
        <f t="array" ref="N1000">_xlfn.IFS(I1000="rob","Robusta",I1000="exc","Excesla",I1000="ara","Arabica",I1000="lib","Liberica")</f>
        <v>Arabica</v>
      </c>
      <c r="O1000" t="str" cm="1">
        <f t="array" ref="O1000">_xlfn.IFS(J1000="m","Medium",J1000="l","Light",J1000="d","Dark")</f>
        <v>Dark</v>
      </c>
      <c r="P1000" t="str">
        <f>_xlfn.XLOOKUP(orders[[#This Row],[Customer ID]],customers!$A$2:$A$1001,customers!$I$2:$I$1001,,0)</f>
        <v>No</v>
      </c>
    </row>
    <row r="1001" spans="1:16" x14ac:dyDescent="0.3">
      <c r="A1001" s="2" t="s">
        <v>6133</v>
      </c>
      <c r="B1001" s="6">
        <v>44119</v>
      </c>
      <c r="C1001" s="2" t="s">
        <v>6134</v>
      </c>
      <c r="D1001" t="s">
        <v>6156</v>
      </c>
      <c r="E1001" s="2">
        <v>3</v>
      </c>
      <c r="F1001" s="2" t="str">
        <f>_xlfn.XLOOKUP(C1001,customers!$A$1:$A$1001,customers!$B$1:$B$1001,,0,1)</f>
        <v>Vidovic Antonelli</v>
      </c>
      <c r="G1001" s="2" t="str">
        <f>IF((_xlfn.XLOOKUP(C1001,customers!$A$2:$A$1001,customers!$C$2:$C$1001,,,)=0),"",(_xlfn.XLOOKUP(C1001,customers!$A$2:$A$1001,customers!$C$2:$C$1001,,0,)))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15"/>
        <v>12.375</v>
      </c>
      <c r="N1001" t="str" cm="1">
        <f t="array" ref="N1001">_xlfn.IFS(I1001="rob","Robusta",I1001="exc","Excesla",I1001="ara","Arabica",I1001="lib","Liberica")</f>
        <v>Excesla</v>
      </c>
      <c r="O1001" t="str" cm="1">
        <f t="array" ref="O1001">_xlfn.IFS(J1001="m","Medium",J1001="l","Light",J1001="d","Dark")</f>
        <v>Medium</v>
      </c>
      <c r="P1001" t="str">
        <f>_xlfn.XLOOKUP(orders[[#This Row],[Customer ID]],customers!$A$2:$A$1001,customers!$I$2:$I$1001,,0)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P2" sqref="P2:P100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4" t="s">
        <v>11</v>
      </c>
      <c r="B1" s="4" t="s">
        <v>9</v>
      </c>
      <c r="C1" s="4" t="s">
        <v>10</v>
      </c>
      <c r="D1" s="4" t="s">
        <v>12</v>
      </c>
      <c r="E1" s="4" t="s">
        <v>13</v>
      </c>
      <c r="F1" s="4" t="s">
        <v>17</v>
      </c>
      <c r="G1" s="4"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election activeCell="P2" sqref="P2:P100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3" t="s">
        <v>3</v>
      </c>
      <c r="B1" s="3" t="s">
        <v>4</v>
      </c>
      <c r="C1" s="3" t="s">
        <v>2</v>
      </c>
      <c r="D1" s="3" t="s">
        <v>317</v>
      </c>
      <c r="E1" s="3" t="s">
        <v>5</v>
      </c>
      <c r="F1" s="3" t="s">
        <v>6</v>
      </c>
      <c r="G1" s="3" t="s">
        <v>7</v>
      </c>
      <c r="H1" s="3" t="s">
        <v>8</v>
      </c>
      <c r="I1" s="3"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EDA</vt:lpstr>
      <vt:lpstr>Totalsales</vt:lpstr>
      <vt:lpstr>Country_BarChart</vt:lpstr>
      <vt:lpstr>Top5Customers</vt:lpstr>
      <vt:lpstr>orders</vt:lpstr>
      <vt:lpstr>products</vt:lpstr>
      <vt:lpstr>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PABLO EDFORD</cp:lastModifiedBy>
  <cp:revision/>
  <dcterms:created xsi:type="dcterms:W3CDTF">2022-11-26T09:51:45Z</dcterms:created>
  <dcterms:modified xsi:type="dcterms:W3CDTF">2025-10-09T17:11:12Z</dcterms:modified>
  <cp:category/>
  <cp:contentStatus/>
</cp:coreProperties>
</file>